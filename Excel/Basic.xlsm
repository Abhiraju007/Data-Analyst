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130" codeName="{4D1C537B-E38A-612A-F078-A93A15B4B7F4}"/>
  <workbookPr updateLinks="never" codeName="ThisWorkbook" hidePivotFieldList="1" defaultThemeVersion="124226"/>
  <mc:AlternateContent xmlns:mc="http://schemas.openxmlformats.org/markup-compatibility/2006">
    <mc:Choice Requires="x15">
      <x15ac:absPath xmlns:x15ac="http://schemas.microsoft.com/office/spreadsheetml/2010/11/ac" url="C:\Users\eanbhpa\Downloads\"/>
    </mc:Choice>
  </mc:AlternateContent>
  <xr:revisionPtr revIDLastSave="0" documentId="13_ncr:1_{D011E46C-CE3D-4A5A-8B8F-E42CEF2B1D64}" xr6:coauthVersionLast="47" xr6:coauthVersionMax="47" xr10:uidLastSave="{00000000-0000-0000-0000-000000000000}"/>
  <workbookProtection workbookAlgorithmName="SHA-512" workbookHashValue="ZFjZjr1dng/9HFFbWEuuNOODs8uuGC8mRMPsK5BJ9V76q5RIBnAWuY08rCM2G4ZRnJK8AzwT1VCJ0nagDvu4QQ==" workbookSaltValue="lpTt5N+szOKLBiMp8kgPMg==" workbookSpinCount="100000" lockStructure="1"/>
  <bookViews>
    <workbookView xWindow="-110" yWindow="-110" windowWidth="19420" windowHeight="10420" tabRatio="788" xr2:uid="{00000000-000D-0000-FFFF-FFFF00000000}"/>
  </bookViews>
  <sheets>
    <sheet name="Rows and Columns" sheetId="137" r:id="rId1"/>
    <sheet name="HW(2)" sheetId="4" r:id="rId2"/>
    <sheet name="HW(2an)" sheetId="8" state="hidden" r:id="rId3"/>
    <sheet name="HW(3)" sheetId="5" r:id="rId4"/>
    <sheet name="HW(3an)" sheetId="9" state="hidden" r:id="rId5"/>
    <sheet name="HW(4)" sheetId="6" r:id="rId6"/>
    <sheet name="HW(4an)" sheetId="10" state="hidden" r:id="rId7"/>
    <sheet name="HW(7)" sheetId="15" r:id="rId8"/>
    <sheet name="HW(7an)" sheetId="16" state="hidden" r:id="rId9"/>
    <sheet name="HW(12)" sheetId="27" r:id="rId10"/>
    <sheet name="HW(12an)" sheetId="28" state="hidden" r:id="rId11"/>
    <sheet name="HW(13)" sheetId="29" r:id="rId12"/>
    <sheet name="HW(13an)" sheetId="30" state="hidden" r:id="rId13"/>
    <sheet name="HW(14)" sheetId="31" r:id="rId14"/>
    <sheet name="HW(14an)" sheetId="32" state="hidden" r:id="rId15"/>
    <sheet name="HW(15)" sheetId="33" r:id="rId16"/>
    <sheet name="HW(15an)" sheetId="38" state="hidden" r:id="rId17"/>
    <sheet name="HW(16)" sheetId="35" r:id="rId18"/>
    <sheet name="HW(16an)" sheetId="39" state="hidden" r:id="rId19"/>
    <sheet name="HW(17)" sheetId="36" r:id="rId20"/>
    <sheet name="HW(17an)" sheetId="40" state="hidden" r:id="rId21"/>
    <sheet name="HW(18)" sheetId="37" r:id="rId22"/>
    <sheet name="HW(18an)" sheetId="41" state="hidden" r:id="rId23"/>
    <sheet name="HW(19)" sheetId="43" r:id="rId24"/>
    <sheet name="HW(19an)" sheetId="47" state="hidden" r:id="rId25"/>
    <sheet name="HW(22)" sheetId="51" r:id="rId26"/>
    <sheet name="HW(22an)" sheetId="69" state="hidden" r:id="rId27"/>
    <sheet name="HW(23)" sheetId="52" r:id="rId28"/>
    <sheet name="HW(23an)" sheetId="71" state="hidden" r:id="rId29"/>
    <sheet name="HW(24)" sheetId="68" r:id="rId30"/>
    <sheet name="HW(24an)" sheetId="72" state="hidden" r:id="rId31"/>
    <sheet name="HW(25)" sheetId="54" r:id="rId32"/>
    <sheet name="HW(25an)" sheetId="73" state="hidden" r:id="rId33"/>
  </sheets>
  <definedNames>
    <definedName name="COGSAN">#REF!</definedName>
    <definedName name="CustomerAN">#REF!</definedName>
    <definedName name="DateAN">#REF!</definedName>
    <definedName name="DateDataAnswer">#REF!:INDEX(#REF!,COUNT(#REF!))</definedName>
    <definedName name="_xlnm.Print_Area" localSheetId="24">'HW(19an)'!$A$3:$D$11</definedName>
    <definedName name="ProductAN">#REF!</definedName>
    <definedName name="RegionAN">#REF!</definedName>
    <definedName name="Sales">#REF!</definedName>
    <definedName name="SalesAN">#REF!</definedName>
    <definedName name="SalesDataAN">#REF!</definedName>
    <definedName name="SalesDataAnswer">#REF!:INDEX(#REF!,COUNT(#REF!))</definedName>
    <definedName name="SalesRep">#REF!</definedName>
    <definedName name="SalesRepAN">#REF!</definedName>
    <definedName name="sd">#REF!</definedName>
    <definedName name="SRAN">#REF!</definedName>
    <definedName name="TextFormula">GET.CELL(6,!XFD1)</definedName>
    <definedName name="UnitsAN">#REF!</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3" i="137" l="1"/>
  <c r="H14" i="137"/>
  <c r="H13" i="137"/>
  <c r="F9" i="137"/>
  <c r="E9" i="137"/>
  <c r="D9" i="137"/>
  <c r="H15" i="137" l="1"/>
  <c r="B23" i="73"/>
  <c r="A23" i="73"/>
  <c r="D22" i="73"/>
  <c r="D21" i="73"/>
  <c r="D20" i="73"/>
  <c r="D19" i="73"/>
  <c r="D18" i="73"/>
  <c r="D17" i="73"/>
  <c r="D5" i="73"/>
  <c r="D6" i="73"/>
  <c r="D7" i="73"/>
  <c r="D8" i="73"/>
  <c r="D9" i="73"/>
  <c r="D4" i="73"/>
  <c r="B10" i="73"/>
  <c r="A10" i="73"/>
  <c r="A10" i="54"/>
  <c r="B10" i="54"/>
  <c r="A1" i="72"/>
  <c r="A1" i="68" s="1"/>
  <c r="B8" i="72"/>
  <c r="B15" i="71"/>
  <c r="B9" i="71"/>
  <c r="B6" i="71"/>
  <c r="A5" i="71"/>
  <c r="A4" i="71"/>
  <c r="B9" i="69"/>
  <c r="B5" i="69"/>
  <c r="B13" i="69"/>
  <c r="A5" i="52"/>
  <c r="A4" i="52"/>
  <c r="B12" i="73" l="1"/>
  <c r="B25" i="73"/>
  <c r="B12" i="54"/>
  <c r="D11" i="47" l="1"/>
  <c r="C11" i="47"/>
  <c r="B11" i="47"/>
  <c r="B11" i="43"/>
  <c r="C11" i="43"/>
  <c r="D11" i="43"/>
  <c r="A11" i="41" l="1"/>
  <c r="A11" i="40"/>
  <c r="A11" i="39"/>
  <c r="A11" i="38"/>
  <c r="A11" i="37"/>
  <c r="D11" i="31" l="1"/>
  <c r="D7" i="31"/>
  <c r="D6" i="31"/>
  <c r="D5" i="31"/>
  <c r="D8" i="31"/>
  <c r="D9" i="31"/>
  <c r="D10" i="31"/>
  <c r="D4" i="31"/>
  <c r="D5" i="30" l="1"/>
  <c r="F5" i="30" s="1"/>
  <c r="D6" i="30"/>
  <c r="F6" i="30" s="1"/>
  <c r="D7" i="30"/>
  <c r="F7" i="30" s="1"/>
  <c r="D8" i="30"/>
  <c r="F8" i="30" s="1"/>
  <c r="D9" i="30"/>
  <c r="F9" i="30" s="1"/>
  <c r="D10" i="30"/>
  <c r="F10" i="30" s="1"/>
  <c r="D11" i="30"/>
  <c r="F11" i="30" s="1"/>
  <c r="D4" i="30"/>
  <c r="F4" i="30" s="1"/>
  <c r="B10" i="28"/>
  <c r="B5" i="28"/>
  <c r="B12" i="28"/>
  <c r="B14" i="28" s="1"/>
  <c r="B12" i="27"/>
  <c r="E4" i="16" l="1"/>
  <c r="E4" i="15"/>
  <c r="E4" i="10"/>
  <c r="E5" i="10"/>
  <c r="E6" i="10"/>
  <c r="E7" i="10"/>
  <c r="E8" i="10"/>
  <c r="E9" i="10"/>
  <c r="B8" i="9"/>
  <c r="B9" i="9" s="1"/>
  <c r="C8" i="9"/>
  <c r="D8" i="9"/>
  <c r="E8" i="9"/>
  <c r="F8" i="9"/>
  <c r="C4" i="9"/>
  <c r="D4" i="9" s="1"/>
  <c r="C4" i="5"/>
  <c r="D4" i="5" s="1"/>
  <c r="E4" i="5" s="1"/>
  <c r="F4" i="5" s="1"/>
  <c r="E4" i="9" l="1"/>
  <c r="D9" i="9"/>
  <c r="C9" i="9"/>
  <c r="F4" i="9" l="1"/>
  <c r="F9" i="9" s="1"/>
  <c r="E9" i="9"/>
</calcChain>
</file>

<file path=xl/sharedStrings.xml><?xml version="1.0" encoding="utf-8"?>
<sst xmlns="http://schemas.openxmlformats.org/spreadsheetml/2006/main" count="323" uniqueCount="141">
  <si>
    <t>Monday</t>
  </si>
  <si>
    <t>Tuesday</t>
  </si>
  <si>
    <t>Wednesday</t>
  </si>
  <si>
    <t>Jan Sales</t>
  </si>
  <si>
    <t>Total</t>
  </si>
  <si>
    <t>Thursday</t>
  </si>
  <si>
    <t>Friday</t>
  </si>
  <si>
    <t>Revenue</t>
  </si>
  <si>
    <t>Expense 1</t>
  </si>
  <si>
    <t>Expense 2</t>
  </si>
  <si>
    <t>Expense 3</t>
  </si>
  <si>
    <t>Total Expenses</t>
  </si>
  <si>
    <t>Net Income</t>
  </si>
  <si>
    <t>1) In cell B8 create a formula that adds the expenses (do not include the Revenue). Then copy that formula through the range B8:F8.
2) In cell B9 create a formula that calculates Net Income. Then copy that formula through the range B9:F9.</t>
  </si>
  <si>
    <t>Employee</t>
  </si>
  <si>
    <t>Day 1 Phone Calls</t>
  </si>
  <si>
    <t>Day 2 Phone Calls</t>
  </si>
  <si>
    <t>Day 3 Phone Calls</t>
  </si>
  <si>
    <t>Sioux</t>
  </si>
  <si>
    <t>Tom</t>
  </si>
  <si>
    <t>Chin</t>
  </si>
  <si>
    <t>Pham</t>
  </si>
  <si>
    <t>Shelia</t>
  </si>
  <si>
    <t>Mo</t>
  </si>
  <si>
    <t>Total Calls</t>
  </si>
  <si>
    <t>1) In Cell E4 create a formula that adds the employee's calls, then copy the formula down the column.</t>
  </si>
  <si>
    <t>Date</t>
  </si>
  <si>
    <t>SalesRep</t>
  </si>
  <si>
    <t>Sales</t>
  </si>
  <si>
    <t>Total Sales</t>
  </si>
  <si>
    <t>Fred</t>
  </si>
  <si>
    <t>Jo</t>
  </si>
  <si>
    <t>Joe</t>
  </si>
  <si>
    <t>Sue</t>
  </si>
  <si>
    <t>1) Fix the problem with the formula in cell E4.</t>
  </si>
  <si>
    <t>1) Add Bold to the field name (column header) in cell A3.
2) Highlight the whole column and add the border "All Borders".
3) In cell C4 create a formula that adds Jan Sales.</t>
  </si>
  <si>
    <t>Loan Amount</t>
  </si>
  <si>
    <t>Loan Issue Date</t>
  </si>
  <si>
    <t>Date Loan is due</t>
  </si>
  <si>
    <t>Days until loan due</t>
  </si>
  <si>
    <t>Invoice Due Date</t>
  </si>
  <si>
    <t>Today's Date</t>
  </si>
  <si>
    <t>Day's Invoice Past Due</t>
  </si>
  <si>
    <t>Project Start Date</t>
  </si>
  <si>
    <t>Project End Date</t>
  </si>
  <si>
    <t>Project Length in Days</t>
  </si>
  <si>
    <t>1) In cell B5, calculate (with formula) the number of days that the invoice is past due.
2) in cell B10, calculate (with formula) the date the loan is due.
3) In cell B14 calculate the projects length in days.</t>
  </si>
  <si>
    <t>Name</t>
  </si>
  <si>
    <t>Total Time</t>
  </si>
  <si>
    <t>Wage</t>
  </si>
  <si>
    <t>Total Pay Before Tax (Time*Wage)</t>
  </si>
  <si>
    <t>Name1</t>
  </si>
  <si>
    <t>Name2</t>
  </si>
  <si>
    <t>Name3</t>
  </si>
  <si>
    <t>Name4</t>
  </si>
  <si>
    <t>Name5</t>
  </si>
  <si>
    <t>Name6</t>
  </si>
  <si>
    <t>Name7</t>
  </si>
  <si>
    <t>Name8</t>
  </si>
  <si>
    <t>Time In</t>
  </si>
  <si>
    <t>Time Out</t>
  </si>
  <si>
    <t>1) Complete the payroll table below.</t>
  </si>
  <si>
    <t>Sales Tax 1</t>
  </si>
  <si>
    <t>Sales Tax 2</t>
  </si>
  <si>
    <t>Sales Tax 3</t>
  </si>
  <si>
    <t>Sales Tax 4</t>
  </si>
  <si>
    <t>Sales Tax 5</t>
  </si>
  <si>
    <t>Sales Tax 6</t>
  </si>
  <si>
    <t>Sales Tax 7</t>
  </si>
  <si>
    <t>1) Fix the Percentage Number Formatting problems below.</t>
  </si>
  <si>
    <t>% Increase</t>
  </si>
  <si>
    <t>Add percentage format to show 2 decimals</t>
  </si>
  <si>
    <t>change underlying number to 0.02 and add percentage format to show 2 decimals</t>
  </si>
  <si>
    <t>Reduce decimals to 2 places</t>
  </si>
  <si>
    <t>Increase decimal to 2 places</t>
  </si>
  <si>
    <t>change underlying number to 0.02 and increase decimals</t>
  </si>
  <si>
    <t>change underlying number to 1.5</t>
  </si>
  <si>
    <t>Units</t>
  </si>
  <si>
    <t>$15.00</t>
  </si>
  <si>
    <t>$25.00</t>
  </si>
  <si>
    <t>$62.00</t>
  </si>
  <si>
    <t>$52.00</t>
  </si>
  <si>
    <t>$32.00</t>
  </si>
  <si>
    <t>Dates</t>
  </si>
  <si>
    <t>10/17/2011</t>
  </si>
  <si>
    <t>10/22/2011</t>
  </si>
  <si>
    <t>10/07/2011</t>
  </si>
  <si>
    <t>10/14/2011</t>
  </si>
  <si>
    <t>10/15/2011</t>
  </si>
  <si>
    <t>10/01/2011</t>
  </si>
  <si>
    <t>1) Add a SUM function to cell A11 to add the column of units, then figure out why the formula is not working and fix it.</t>
  </si>
  <si>
    <t>1) Add a SUM function to cell A11 to add the column of units, then remove the left alignment from the column of numbers using the Normal Style.</t>
  </si>
  <si>
    <t>1) Figure out why the formula in cell A11 is not working and fix it.</t>
  </si>
  <si>
    <t>A: Text To Columns to convert numbers stored as text to numbers, then</t>
  </si>
  <si>
    <t>format cell A11.</t>
  </si>
  <si>
    <t>Remove Text Number format from cell A11 by applying General Number</t>
  </si>
  <si>
    <t>format, then add SUM function</t>
  </si>
  <si>
    <t>A: Text To Columns to convert numbers stored as text to numbers.</t>
  </si>
  <si>
    <t>Product 1</t>
  </si>
  <si>
    <t>Product 2</t>
  </si>
  <si>
    <t>Product 3</t>
  </si>
  <si>
    <t>Product 4</t>
  </si>
  <si>
    <t>Product 5</t>
  </si>
  <si>
    <t>Product 6</t>
  </si>
  <si>
    <t>Jan</t>
  </si>
  <si>
    <t>Feb</t>
  </si>
  <si>
    <t>Mar</t>
  </si>
  <si>
    <t>Totals</t>
  </si>
  <si>
    <t>1st Quarter Sales</t>
  </si>
  <si>
    <t>1) Add stylistic Formatting and Page Setup. Make it look good. There is no one correct answer to this.</t>
  </si>
  <si>
    <t>1) Add a SUM function to cell A11 to add the column of units, then remove the left alignment from the column of numbers using the Normal Style - then add Currency Number Format.</t>
  </si>
  <si>
    <t>Expenses</t>
  </si>
  <si>
    <t>1) In the green cells find the problems with the formulas and fix it.</t>
  </si>
  <si>
    <t xml:space="preserve"> =B3-B4</t>
  </si>
  <si>
    <t>=B7-B8</t>
  </si>
  <si>
    <t>=B11-B12</t>
  </si>
  <si>
    <t>Item</t>
  </si>
  <si>
    <t>Subtotal</t>
  </si>
  <si>
    <t>Birch Aircraft Plywood Sheet</t>
  </si>
  <si>
    <t>Monthly Allocation</t>
  </si>
  <si>
    <t>Annual Charge</t>
  </si>
  <si>
    <t>1) In the green cells create a formula that will calculate the correct answer</t>
  </si>
  <si>
    <t>Average</t>
  </si>
  <si>
    <t>Employee 1</t>
  </si>
  <si>
    <t>Employee 2</t>
  </si>
  <si>
    <t>Employee 3</t>
  </si>
  <si>
    <t>Employee 4</t>
  </si>
  <si>
    <t xml:space="preserve"> &lt;&lt;== get rid of space</t>
  </si>
  <si>
    <t xml:space="preserve"> &lt;&lt;== get rid of lead apostrophe</t>
  </si>
  <si>
    <t xml:space="preserve"> &lt;&lt;== Remove Text number formatting</t>
  </si>
  <si>
    <t>Administrative Expense</t>
  </si>
  <si>
    <t>Operational Expense</t>
  </si>
  <si>
    <t>Other Expense</t>
  </si>
  <si>
    <t>DR</t>
  </si>
  <si>
    <t>CR</t>
  </si>
  <si>
    <t>In Balance?</t>
  </si>
  <si>
    <t>1) Calculate the balances for the DR and CR columns in cells A7 and B7. Then in cell B9 create a Logical Formula that will tell you whether the two columns are in balance or not.</t>
  </si>
  <si>
    <t>To fix it change numbers to:</t>
  </si>
  <si>
    <t>Rows</t>
  </si>
  <si>
    <t>Columns</t>
  </si>
  <si>
    <t>Total Cells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</si>
</sst>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quot;$&quot;#,##0.00_);[Red]\(&quot;$&quot;#,##0.00\)"/>
    <numFmt numFmtId="165" formatCode="_(&quot;$&quot;* #,##0.00_);_(&quot;$&quot;* \(#,##0.00\);_(&quot;$&quot;* &quot;-&quot;??_);_(@_)"/>
    <numFmt numFmtId="166" formatCode="_(* #,##0.00_);_(* \(#,##0.00\);_(* &quot;-&quot;??_);_(@_)"/>
    <numFmt numFmtId="167" formatCode="[$-409]h:mm\ AM/PM;@"/>
    <numFmt numFmtId="168" formatCode="0.00000000%"/>
  </numFmts>
  <fonts count="10"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indexed="9"/>
      <name val="Calibri"/>
      <family val="2"/>
      <scheme val="minor"/>
    </font>
    <font>
      <sz val="11"/>
      <name val="Calibri"/>
      <family val="2"/>
      <scheme val="minor"/>
    </font>
    <font>
      <sz val="10"/>
      <name val="Arial"/>
      <family val="2"/>
    </font>
    <font>
      <sz val="10"/>
      <name val="Arial"/>
      <family val="2"/>
    </font>
    <font>
      <sz val="10"/>
      <color indexed="9"/>
      <name val="Arial"/>
      <family val="2"/>
    </font>
  </fonts>
  <fills count="10">
    <fill>
      <patternFill patternType="none"/>
    </fill>
    <fill>
      <patternFill patternType="gray125"/>
    </fill>
    <fill>
      <patternFill patternType="solid">
        <fgColor rgb="FFFFFF99"/>
        <bgColor indexed="64"/>
      </patternFill>
    </fill>
    <fill>
      <patternFill patternType="solid">
        <fgColor rgb="FF002060"/>
        <bgColor indexed="64"/>
      </patternFill>
    </fill>
    <fill>
      <patternFill patternType="solid">
        <fgColor rgb="FFCCFFCC"/>
        <bgColor indexed="64"/>
      </patternFill>
    </fill>
    <fill>
      <patternFill patternType="solid">
        <fgColor theme="8" tint="0.79998168889431442"/>
        <bgColor indexed="64"/>
      </patternFill>
    </fill>
    <fill>
      <patternFill patternType="solid">
        <fgColor rgb="FFFF0000"/>
        <bgColor indexed="64"/>
      </patternFill>
    </fill>
    <fill>
      <patternFill patternType="solid">
        <fgColor indexed="13"/>
        <bgColor indexed="64"/>
      </patternFill>
    </fill>
    <fill>
      <patternFill patternType="solid">
        <fgColor indexed="50"/>
        <bgColor indexed="64"/>
      </patternFill>
    </fill>
    <fill>
      <patternFill patternType="solid">
        <fgColor indexed="12"/>
        <bgColor indexed="64"/>
      </patternFill>
    </fill>
  </fills>
  <borders count="7">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double">
        <color indexed="64"/>
      </bottom>
      <diagonal/>
    </border>
  </borders>
  <cellStyleXfs count="6">
    <xf numFmtId="0" fontId="0" fillId="0" borderId="0"/>
    <xf numFmtId="166" fontId="1" fillId="0" borderId="0" applyFont="0" applyFill="0" applyBorder="0" applyAlignment="0" applyProtection="0"/>
    <xf numFmtId="9" fontId="1" fillId="0" borderId="0" applyFont="0" applyFill="0" applyBorder="0" applyAlignment="0" applyProtection="0"/>
    <xf numFmtId="165" fontId="1" fillId="0" borderId="0" applyFont="0" applyFill="0" applyBorder="0" applyAlignment="0" applyProtection="0"/>
    <xf numFmtId="0" fontId="8" fillId="0" borderId="0"/>
    <xf numFmtId="166" fontId="7" fillId="0" borderId="0" applyFont="0" applyFill="0" applyBorder="0" applyAlignment="0" applyProtection="0"/>
  </cellStyleXfs>
  <cellXfs count="71">
    <xf numFmtId="0" fontId="0" fillId="0" borderId="0" xfId="0"/>
    <xf numFmtId="0" fontId="0" fillId="2" borderId="1" xfId="0" applyFill="1" applyBorder="1" applyAlignment="1">
      <alignment horizontal="centerContinuous" wrapText="1"/>
    </xf>
    <xf numFmtId="0" fontId="0" fillId="2" borderId="2" xfId="0" applyFill="1" applyBorder="1" applyAlignment="1">
      <alignment horizontal="centerContinuous" wrapText="1"/>
    </xf>
    <xf numFmtId="0" fontId="0" fillId="2" borderId="3" xfId="0" applyFill="1" applyBorder="1" applyAlignment="1">
      <alignment horizontal="centerContinuous" wrapText="1"/>
    </xf>
    <xf numFmtId="164" fontId="0" fillId="0" borderId="0" xfId="0" applyNumberFormat="1"/>
    <xf numFmtId="0" fontId="0" fillId="0" borderId="4" xfId="0" applyBorder="1"/>
    <xf numFmtId="0" fontId="3" fillId="0" borderId="4" xfId="0" applyFont="1" applyBorder="1"/>
    <xf numFmtId="164" fontId="0" fillId="0" borderId="4" xfId="0" applyNumberFormat="1" applyBorder="1"/>
    <xf numFmtId="0" fontId="2" fillId="3" borderId="4" xfId="0" applyFont="1" applyFill="1" applyBorder="1"/>
    <xf numFmtId="0" fontId="0" fillId="4" borderId="4" xfId="0" applyFill="1" applyBorder="1"/>
    <xf numFmtId="164" fontId="0" fillId="4" borderId="4" xfId="0" applyNumberFormat="1" applyFill="1" applyBorder="1"/>
    <xf numFmtId="0" fontId="3" fillId="0" borderId="4" xfId="0" applyFont="1" applyBorder="1" applyAlignment="1">
      <alignment horizontal="left" indent="1"/>
    </xf>
    <xf numFmtId="0" fontId="4" fillId="3" borderId="4" xfId="0" applyFont="1" applyFill="1" applyBorder="1"/>
    <xf numFmtId="0" fontId="5" fillId="3" borderId="4" xfId="0" applyFont="1" applyFill="1" applyBorder="1"/>
    <xf numFmtId="166" fontId="0" fillId="0" borderId="4" xfId="1" applyFont="1" applyBorder="1"/>
    <xf numFmtId="166" fontId="0" fillId="4" borderId="4" xfId="1" applyFont="1" applyFill="1" applyBorder="1"/>
    <xf numFmtId="0" fontId="4" fillId="3" borderId="0" xfId="0" applyFont="1" applyFill="1"/>
    <xf numFmtId="14" fontId="0" fillId="0" borderId="4" xfId="0" applyNumberFormat="1" applyBorder="1"/>
    <xf numFmtId="14" fontId="0" fillId="4" borderId="4" xfId="0" applyNumberFormat="1" applyFill="1" applyBorder="1"/>
    <xf numFmtId="0" fontId="4" fillId="3" borderId="4" xfId="0" applyFont="1" applyFill="1" applyBorder="1" applyAlignment="1">
      <alignment wrapText="1"/>
    </xf>
    <xf numFmtId="167" fontId="0" fillId="0" borderId="4" xfId="0" applyNumberFormat="1" applyBorder="1"/>
    <xf numFmtId="9" fontId="0" fillId="0" borderId="4" xfId="0" applyNumberFormat="1" applyBorder="1"/>
    <xf numFmtId="10" fontId="0" fillId="0" borderId="4" xfId="0" applyNumberFormat="1" applyBorder="1"/>
    <xf numFmtId="168" fontId="0" fillId="0" borderId="4" xfId="0" applyNumberFormat="1" applyBorder="1"/>
    <xf numFmtId="0" fontId="6" fillId="2" borderId="4" xfId="0" applyFont="1" applyFill="1" applyBorder="1"/>
    <xf numFmtId="10" fontId="0" fillId="0" borderId="4" xfId="2" applyNumberFormat="1" applyFont="1" applyBorder="1"/>
    <xf numFmtId="49" fontId="0" fillId="0" borderId="4" xfId="0" applyNumberFormat="1" applyBorder="1"/>
    <xf numFmtId="0" fontId="0" fillId="4" borderId="4" xfId="0" applyNumberFormat="1" applyFill="1" applyBorder="1"/>
    <xf numFmtId="164" fontId="0" fillId="0" borderId="4" xfId="0" applyNumberFormat="1" applyBorder="1" applyAlignment="1">
      <alignment horizontal="left"/>
    </xf>
    <xf numFmtId="164" fontId="0" fillId="0" borderId="4" xfId="0" quotePrefix="1" applyNumberFormat="1" applyBorder="1" applyAlignment="1">
      <alignment horizontal="left"/>
    </xf>
    <xf numFmtId="49" fontId="0" fillId="4" borderId="4" xfId="0" applyNumberFormat="1" applyFill="1" applyBorder="1"/>
    <xf numFmtId="0" fontId="0" fillId="0" borderId="4" xfId="0" quotePrefix="1" applyNumberFormat="1" applyBorder="1"/>
    <xf numFmtId="14" fontId="0" fillId="0" borderId="4" xfId="0" quotePrefix="1" applyNumberFormat="1" applyBorder="1"/>
    <xf numFmtId="0" fontId="0" fillId="2" borderId="4" xfId="0" applyFill="1" applyBorder="1" applyAlignment="1">
      <alignment horizontal="centerContinuous" wrapText="1"/>
    </xf>
    <xf numFmtId="164" fontId="0" fillId="0" borderId="0" xfId="0" quotePrefix="1" applyNumberFormat="1"/>
    <xf numFmtId="0" fontId="4" fillId="3" borderId="4" xfId="0" applyFont="1" applyFill="1" applyBorder="1" applyAlignment="1">
      <alignment horizontal="centerContinuous" wrapText="1"/>
    </xf>
    <xf numFmtId="0" fontId="0" fillId="5" borderId="4" xfId="0" applyFill="1" applyBorder="1"/>
    <xf numFmtId="0" fontId="0" fillId="5" borderId="5" xfId="0" applyFill="1" applyBorder="1"/>
    <xf numFmtId="0" fontId="0" fillId="5" borderId="6" xfId="0" applyFill="1" applyBorder="1"/>
    <xf numFmtId="164" fontId="0" fillId="0" borderId="6" xfId="0" applyNumberFormat="1" applyBorder="1"/>
    <xf numFmtId="40" fontId="0" fillId="0" borderId="4" xfId="0" applyNumberFormat="1" applyBorder="1"/>
    <xf numFmtId="40" fontId="0" fillId="0" borderId="5" xfId="0" applyNumberFormat="1" applyBorder="1"/>
    <xf numFmtId="164" fontId="0" fillId="4" borderId="4" xfId="0" quotePrefix="1" applyNumberFormat="1" applyFill="1" applyBorder="1"/>
    <xf numFmtId="0" fontId="3" fillId="0" borderId="4" xfId="0" applyFont="1" applyBorder="1" applyAlignment="1">
      <alignment wrapText="1"/>
    </xf>
    <xf numFmtId="0" fontId="0" fillId="0" borderId="3" xfId="0" applyBorder="1"/>
    <xf numFmtId="164" fontId="0" fillId="0" borderId="3" xfId="0" applyNumberFormat="1" applyBorder="1"/>
    <xf numFmtId="164" fontId="0" fillId="4" borderId="3" xfId="0" applyNumberFormat="1" applyFill="1" applyBorder="1"/>
    <xf numFmtId="0" fontId="3" fillId="0" borderId="4" xfId="0" applyFont="1" applyFill="1" applyBorder="1"/>
    <xf numFmtId="164" fontId="0" fillId="0" borderId="4" xfId="0" applyNumberFormat="1" applyFill="1" applyBorder="1"/>
    <xf numFmtId="0" fontId="3" fillId="0" borderId="5" xfId="0" applyFont="1" applyBorder="1" applyAlignment="1">
      <alignment wrapText="1"/>
    </xf>
    <xf numFmtId="0" fontId="3" fillId="0" borderId="6" xfId="0" applyFont="1" applyFill="1" applyBorder="1" applyAlignment="1">
      <alignment wrapText="1"/>
    </xf>
    <xf numFmtId="165" fontId="0" fillId="0" borderId="4" xfId="3" applyFont="1" applyBorder="1"/>
    <xf numFmtId="165" fontId="0" fillId="0" borderId="5" xfId="3" applyFont="1" applyFill="1" applyBorder="1"/>
    <xf numFmtId="165" fontId="0" fillId="4" borderId="6" xfId="3" applyFont="1" applyFill="1" applyBorder="1"/>
    <xf numFmtId="0" fontId="0" fillId="4" borderId="4" xfId="0" applyFont="1" applyFill="1" applyBorder="1"/>
    <xf numFmtId="2" fontId="0" fillId="0" borderId="4" xfId="0" applyNumberFormat="1" applyFont="1" applyBorder="1"/>
    <xf numFmtId="2" fontId="0" fillId="0" borderId="4" xfId="0" applyNumberFormat="1" applyBorder="1"/>
    <xf numFmtId="2" fontId="0" fillId="0" borderId="4" xfId="0" applyNumberFormat="1" applyFont="1" applyFill="1" applyBorder="1"/>
    <xf numFmtId="2" fontId="0" fillId="0" borderId="4" xfId="0" applyNumberFormat="1" applyFont="1" applyBorder="1" applyAlignment="1">
      <alignment wrapText="1"/>
    </xf>
    <xf numFmtId="2" fontId="0" fillId="4" borderId="4" xfId="0" applyNumberFormat="1" applyFont="1" applyFill="1" applyBorder="1" applyAlignment="1">
      <alignment wrapText="1"/>
    </xf>
    <xf numFmtId="0" fontId="4" fillId="6" borderId="4" xfId="0" applyFont="1" applyFill="1" applyBorder="1"/>
    <xf numFmtId="0" fontId="2" fillId="3" borderId="4" xfId="0" applyFont="1" applyFill="1" applyBorder="1" applyAlignment="1">
      <alignment wrapText="1"/>
    </xf>
    <xf numFmtId="0" fontId="8" fillId="7" borderId="0" xfId="4" applyFill="1"/>
    <xf numFmtId="0" fontId="8" fillId="0" borderId="0" xfId="4"/>
    <xf numFmtId="166" fontId="0" fillId="0" borderId="0" xfId="5" applyFont="1"/>
    <xf numFmtId="0" fontId="8" fillId="8" borderId="0" xfId="4" applyFill="1"/>
    <xf numFmtId="0" fontId="8" fillId="9" borderId="0" xfId="4" applyFill="1"/>
    <xf numFmtId="0" fontId="9" fillId="9" borderId="4" xfId="4" applyFont="1" applyFill="1" applyBorder="1"/>
    <xf numFmtId="166" fontId="7" fillId="0" borderId="4" xfId="5" applyFont="1" applyBorder="1"/>
    <xf numFmtId="166" fontId="0" fillId="0" borderId="4" xfId="5" applyFont="1" applyBorder="1"/>
    <xf numFmtId="0" fontId="0" fillId="0" borderId="4" xfId="0" applyFont="1" applyBorder="1"/>
  </cellXfs>
  <cellStyles count="6">
    <cellStyle name="Comma" xfId="1" builtinId="3"/>
    <cellStyle name="Comma 2" xfId="5" xr:uid="{00000000-0005-0000-0000-000001000000}"/>
    <cellStyle name="Currency" xfId="3" builtinId="4"/>
    <cellStyle name="Normal" xfId="0" builtinId="0"/>
    <cellStyle name="Normal 2" xfId="4" xr:uid="{00000000-0005-0000-0000-000004000000}"/>
    <cellStyle name="Percent" xfId="2" builtinId="5"/>
  </cellStyles>
  <dxfs count="0"/>
  <tableStyles count="0" defaultTableStyle="TableStyleMedium2" defaultPivotStyle="PivotStyleLight16"/>
  <colors>
    <mruColors>
      <color rgb="FFCCFFCC"/>
      <color rgb="FF0000FF"/>
      <color rgb="FFFFFF99"/>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indexed="41"/>
    <pageSetUpPr fitToPage="1"/>
  </sheetPr>
  <dimension ref="B1:N68"/>
  <sheetViews>
    <sheetView tabSelected="1" workbookViewId="0">
      <selection activeCell="G7" sqref="G7"/>
    </sheetView>
  </sheetViews>
  <sheetFormatPr defaultColWidth="9.1796875" defaultRowHeight="14.5" x14ac:dyDescent="0.35"/>
  <cols>
    <col min="1" max="4" width="9.1796875" style="63"/>
    <col min="5" max="6" width="9.1796875" style="63" customWidth="1"/>
    <col min="7" max="7" width="11" style="63" bestFit="1" customWidth="1"/>
    <col min="8" max="8" width="18.26953125" style="63" bestFit="1" customWidth="1"/>
    <col min="9" max="10" width="9.1796875" style="63" customWidth="1"/>
    <col min="11" max="12" width="9.1796875" style="63"/>
    <col min="13" max="13" width="9.81640625" style="64" bestFit="1" customWidth="1"/>
    <col min="14" max="14" width="18.26953125" style="64" bestFit="1" customWidth="1"/>
    <col min="15" max="16384" width="9.1796875" style="63"/>
  </cols>
  <sheetData>
    <row r="1" spans="2:12" x14ac:dyDescent="0.35">
      <c r="B1" s="62"/>
    </row>
    <row r="2" spans="2:12" x14ac:dyDescent="0.35">
      <c r="B2" s="62"/>
    </row>
    <row r="3" spans="2:12" x14ac:dyDescent="0.35">
      <c r="B3" s="62"/>
    </row>
    <row r="4" spans="2:12" x14ac:dyDescent="0.35">
      <c r="B4" s="62"/>
    </row>
    <row r="5" spans="2:12" x14ac:dyDescent="0.35">
      <c r="B5" s="65"/>
      <c r="C5" s="66"/>
      <c r="D5" s="66"/>
      <c r="E5" s="66"/>
      <c r="F5" s="66"/>
      <c r="G5" s="66"/>
      <c r="H5" s="66"/>
      <c r="I5" s="66"/>
      <c r="J5" s="66"/>
      <c r="K5" s="66"/>
      <c r="L5" s="66"/>
    </row>
    <row r="6" spans="2:12" x14ac:dyDescent="0.35">
      <c r="B6" s="62"/>
    </row>
    <row r="7" spans="2:12" x14ac:dyDescent="0.35">
      <c r="B7" s="62"/>
    </row>
    <row r="8" spans="2:12" x14ac:dyDescent="0.35">
      <c r="B8" s="62"/>
    </row>
    <row r="9" spans="2:12" x14ac:dyDescent="0.35">
      <c r="B9" s="62"/>
      <c r="D9" s="67" t="str">
        <f>LEFT(ADDRESS(ROW(),COLUMN(),4),1)&amp;RIGHT(ADDRESS(ROW(),COLUMN(),4),1)</f>
        <v>D9</v>
      </c>
      <c r="E9" s="67" t="str">
        <f>LEFT(ADDRESS(ROW(),COLUMN(),4),1)&amp;RIGHT(ADDRESS(ROW(),COLUMN(),4),1)</f>
        <v>E9</v>
      </c>
      <c r="F9" s="67" t="str">
        <f>LEFT(ADDRESS(ROW(),COLUMN(),4),1)&amp;RIGHT(ADDRESS(ROW(),COLUMN(),4),1)</f>
        <v>F9</v>
      </c>
    </row>
    <row r="10" spans="2:12" x14ac:dyDescent="0.35">
      <c r="B10" s="62"/>
    </row>
    <row r="11" spans="2:12" x14ac:dyDescent="0.35">
      <c r="B11" s="62"/>
    </row>
    <row r="12" spans="2:12" x14ac:dyDescent="0.35">
      <c r="B12" s="62"/>
    </row>
    <row r="13" spans="2:12" x14ac:dyDescent="0.35">
      <c r="B13" s="62"/>
      <c r="G13" s="68" t="s">
        <v>138</v>
      </c>
      <c r="H13" s="69">
        <f>2^20</f>
        <v>1048576</v>
      </c>
    </row>
    <row r="14" spans="2:12" x14ac:dyDescent="0.35">
      <c r="B14" s="62"/>
      <c r="G14" s="68" t="s">
        <v>139</v>
      </c>
      <c r="H14" s="69">
        <f>2^14</f>
        <v>16384</v>
      </c>
    </row>
    <row r="15" spans="2:12" x14ac:dyDescent="0.35">
      <c r="B15" s="62"/>
      <c r="G15" s="68" t="s">
        <v>140</v>
      </c>
      <c r="H15" s="69">
        <f>H13*H14</f>
        <v>17179869184</v>
      </c>
    </row>
    <row r="16" spans="2:12" x14ac:dyDescent="0.35">
      <c r="B16" s="62"/>
    </row>
    <row r="17" spans="2:3" x14ac:dyDescent="0.35">
      <c r="B17" s="62"/>
    </row>
    <row r="18" spans="2:3" x14ac:dyDescent="0.35">
      <c r="B18" s="62"/>
    </row>
    <row r="19" spans="2:3" x14ac:dyDescent="0.35">
      <c r="B19" s="62"/>
    </row>
    <row r="20" spans="2:3" x14ac:dyDescent="0.35">
      <c r="B20" s="62"/>
    </row>
    <row r="21" spans="2:3" x14ac:dyDescent="0.35">
      <c r="B21" s="62"/>
    </row>
    <row r="22" spans="2:3" x14ac:dyDescent="0.35">
      <c r="B22" s="62"/>
    </row>
    <row r="23" spans="2:3" x14ac:dyDescent="0.35">
      <c r="B23" s="63">
        <v>62</v>
      </c>
      <c r="C23" s="63">
        <f>SUM(B23:B68)</f>
        <v>4257</v>
      </c>
    </row>
    <row r="24" spans="2:3" x14ac:dyDescent="0.35">
      <c r="B24" s="63">
        <v>83</v>
      </c>
    </row>
    <row r="25" spans="2:3" x14ac:dyDescent="0.35">
      <c r="B25" s="63">
        <v>81</v>
      </c>
    </row>
    <row r="26" spans="2:3" x14ac:dyDescent="0.35">
      <c r="B26" s="63">
        <v>29</v>
      </c>
    </row>
    <row r="27" spans="2:3" x14ac:dyDescent="0.35">
      <c r="B27" s="63">
        <v>131</v>
      </c>
    </row>
    <row r="28" spans="2:3" x14ac:dyDescent="0.35">
      <c r="B28" s="63">
        <v>142</v>
      </c>
    </row>
    <row r="29" spans="2:3" x14ac:dyDescent="0.35">
      <c r="B29" s="63">
        <v>104</v>
      </c>
    </row>
    <row r="30" spans="2:3" x14ac:dyDescent="0.35">
      <c r="B30" s="63">
        <v>59</v>
      </c>
    </row>
    <row r="31" spans="2:3" x14ac:dyDescent="0.35">
      <c r="B31" s="63">
        <v>94</v>
      </c>
    </row>
    <row r="32" spans="2:3" x14ac:dyDescent="0.35">
      <c r="B32" s="63">
        <v>65</v>
      </c>
    </row>
    <row r="33" spans="2:2" x14ac:dyDescent="0.35">
      <c r="B33" s="63">
        <v>119</v>
      </c>
    </row>
    <row r="34" spans="2:2" x14ac:dyDescent="0.35">
      <c r="B34" s="63">
        <v>39</v>
      </c>
    </row>
    <row r="35" spans="2:2" x14ac:dyDescent="0.35">
      <c r="B35" s="63">
        <v>121</v>
      </c>
    </row>
    <row r="36" spans="2:2" x14ac:dyDescent="0.35">
      <c r="B36" s="63">
        <v>145</v>
      </c>
    </row>
    <row r="37" spans="2:2" x14ac:dyDescent="0.35">
      <c r="B37" s="63">
        <v>72</v>
      </c>
    </row>
    <row r="38" spans="2:2" x14ac:dyDescent="0.35">
      <c r="B38" s="63">
        <v>140</v>
      </c>
    </row>
    <row r="39" spans="2:2" x14ac:dyDescent="0.35">
      <c r="B39" s="63">
        <v>127</v>
      </c>
    </row>
    <row r="40" spans="2:2" x14ac:dyDescent="0.35">
      <c r="B40" s="63">
        <v>60</v>
      </c>
    </row>
    <row r="41" spans="2:2" x14ac:dyDescent="0.35">
      <c r="B41" s="63">
        <v>70</v>
      </c>
    </row>
    <row r="42" spans="2:2" x14ac:dyDescent="0.35">
      <c r="B42" s="63">
        <v>113</v>
      </c>
    </row>
    <row r="43" spans="2:2" x14ac:dyDescent="0.35">
      <c r="B43" s="63">
        <v>96</v>
      </c>
    </row>
    <row r="44" spans="2:2" x14ac:dyDescent="0.35">
      <c r="B44" s="63">
        <v>132</v>
      </c>
    </row>
    <row r="45" spans="2:2" x14ac:dyDescent="0.35">
      <c r="B45" s="63">
        <v>87</v>
      </c>
    </row>
    <row r="46" spans="2:2" x14ac:dyDescent="0.35">
      <c r="B46" s="63">
        <v>59</v>
      </c>
    </row>
    <row r="47" spans="2:2" x14ac:dyDescent="0.35">
      <c r="B47" s="63">
        <v>95</v>
      </c>
    </row>
    <row r="48" spans="2:2" x14ac:dyDescent="0.35">
      <c r="B48" s="63">
        <v>133</v>
      </c>
    </row>
    <row r="49" spans="2:2" x14ac:dyDescent="0.35">
      <c r="B49" s="63">
        <v>78</v>
      </c>
    </row>
    <row r="50" spans="2:2" x14ac:dyDescent="0.35">
      <c r="B50" s="63">
        <v>143</v>
      </c>
    </row>
    <row r="51" spans="2:2" x14ac:dyDescent="0.35">
      <c r="B51" s="63">
        <v>57</v>
      </c>
    </row>
    <row r="52" spans="2:2" x14ac:dyDescent="0.35">
      <c r="B52" s="63">
        <v>65</v>
      </c>
    </row>
    <row r="53" spans="2:2" x14ac:dyDescent="0.35">
      <c r="B53" s="63">
        <v>93</v>
      </c>
    </row>
    <row r="54" spans="2:2" x14ac:dyDescent="0.35">
      <c r="B54" s="63">
        <v>74</v>
      </c>
    </row>
    <row r="55" spans="2:2" x14ac:dyDescent="0.35">
      <c r="B55" s="63">
        <v>107</v>
      </c>
    </row>
    <row r="56" spans="2:2" x14ac:dyDescent="0.35">
      <c r="B56" s="63">
        <v>28</v>
      </c>
    </row>
    <row r="57" spans="2:2" x14ac:dyDescent="0.35">
      <c r="B57" s="63">
        <v>54</v>
      </c>
    </row>
    <row r="58" spans="2:2" x14ac:dyDescent="0.35">
      <c r="B58" s="63">
        <v>105</v>
      </c>
    </row>
    <row r="59" spans="2:2" x14ac:dyDescent="0.35">
      <c r="B59" s="63">
        <v>74</v>
      </c>
    </row>
    <row r="60" spans="2:2" x14ac:dyDescent="0.35">
      <c r="B60" s="63">
        <v>147</v>
      </c>
    </row>
    <row r="61" spans="2:2" x14ac:dyDescent="0.35">
      <c r="B61" s="63">
        <v>53</v>
      </c>
    </row>
    <row r="62" spans="2:2" x14ac:dyDescent="0.35">
      <c r="B62" s="63">
        <v>95</v>
      </c>
    </row>
    <row r="63" spans="2:2" x14ac:dyDescent="0.35">
      <c r="B63" s="63">
        <v>133</v>
      </c>
    </row>
    <row r="64" spans="2:2" x14ac:dyDescent="0.35">
      <c r="B64" s="63">
        <v>83</v>
      </c>
    </row>
    <row r="65" spans="2:2" x14ac:dyDescent="0.35">
      <c r="B65" s="63">
        <v>75</v>
      </c>
    </row>
    <row r="66" spans="2:2" x14ac:dyDescent="0.35">
      <c r="B66" s="63">
        <v>145</v>
      </c>
    </row>
    <row r="67" spans="2:2" x14ac:dyDescent="0.35">
      <c r="B67" s="63">
        <v>69</v>
      </c>
    </row>
    <row r="68" spans="2:2" x14ac:dyDescent="0.35">
      <c r="B68" s="63">
        <v>121</v>
      </c>
    </row>
  </sheetData>
  <printOptions horizontalCentered="1"/>
  <pageMargins left="0.75" right="0.75" top="1" bottom="1" header="0.5" footer="0.5"/>
  <pageSetup orientation="landscape" r:id="rId1"/>
  <headerFooter alignWithMargins="0">
    <oddHeader>&amp;C&amp;F - &amp;A</oddHeader>
    <oddFoote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0000FF"/>
  </sheetPr>
  <dimension ref="A1:H502"/>
  <sheetViews>
    <sheetView zoomScale="98" zoomScaleNormal="98" workbookViewId="0">
      <selection activeCell="D5" sqref="D5"/>
    </sheetView>
  </sheetViews>
  <sheetFormatPr defaultRowHeight="14.5" x14ac:dyDescent="0.35"/>
  <sheetData>
    <row r="1" spans="1:8" ht="43.5" x14ac:dyDescent="0.35">
      <c r="A1" s="1" t="s">
        <v>35</v>
      </c>
      <c r="B1" s="2"/>
      <c r="C1" s="2"/>
      <c r="D1" s="2"/>
      <c r="E1" s="2"/>
      <c r="F1" s="2"/>
      <c r="G1" s="2"/>
      <c r="H1" s="3"/>
    </row>
    <row r="3" spans="1:8" x14ac:dyDescent="0.35">
      <c r="A3" t="s">
        <v>3</v>
      </c>
      <c r="C3" s="12" t="s">
        <v>4</v>
      </c>
    </row>
    <row r="4" spans="1:8" x14ac:dyDescent="0.35">
      <c r="A4" s="4">
        <v>25</v>
      </c>
      <c r="C4" s="10"/>
    </row>
    <row r="5" spans="1:8" x14ac:dyDescent="0.35">
      <c r="A5" s="4">
        <v>102</v>
      </c>
    </row>
    <row r="6" spans="1:8" x14ac:dyDescent="0.35">
      <c r="A6" s="4">
        <v>68</v>
      </c>
    </row>
    <row r="7" spans="1:8" x14ac:dyDescent="0.35">
      <c r="A7" s="4">
        <v>59</v>
      </c>
    </row>
    <row r="8" spans="1:8" x14ac:dyDescent="0.35">
      <c r="A8" s="4">
        <v>62</v>
      </c>
    </row>
    <row r="9" spans="1:8" x14ac:dyDescent="0.35">
      <c r="A9" s="4">
        <v>104</v>
      </c>
    </row>
    <row r="10" spans="1:8" x14ac:dyDescent="0.35">
      <c r="A10" s="4">
        <v>17</v>
      </c>
    </row>
    <row r="11" spans="1:8" x14ac:dyDescent="0.35">
      <c r="A11" s="4">
        <v>73</v>
      </c>
    </row>
    <row r="12" spans="1:8" x14ac:dyDescent="0.35">
      <c r="A12" s="4">
        <v>88</v>
      </c>
    </row>
    <row r="13" spans="1:8" x14ac:dyDescent="0.35">
      <c r="A13" s="4">
        <v>19</v>
      </c>
    </row>
    <row r="14" spans="1:8" x14ac:dyDescent="0.35">
      <c r="A14" s="4">
        <v>100</v>
      </c>
    </row>
    <row r="15" spans="1:8" x14ac:dyDescent="0.35">
      <c r="A15" s="4">
        <v>17</v>
      </c>
    </row>
    <row r="16" spans="1:8" x14ac:dyDescent="0.35">
      <c r="A16" s="4">
        <v>74</v>
      </c>
    </row>
    <row r="17" spans="1:1" x14ac:dyDescent="0.35">
      <c r="A17" s="4">
        <v>39</v>
      </c>
    </row>
    <row r="18" spans="1:1" x14ac:dyDescent="0.35">
      <c r="A18" s="4">
        <v>119</v>
      </c>
    </row>
    <row r="19" spans="1:1" x14ac:dyDescent="0.35">
      <c r="A19" s="4">
        <v>32</v>
      </c>
    </row>
    <row r="20" spans="1:1" x14ac:dyDescent="0.35">
      <c r="A20" s="4">
        <v>88</v>
      </c>
    </row>
    <row r="21" spans="1:1" x14ac:dyDescent="0.35">
      <c r="A21" s="4">
        <v>60</v>
      </c>
    </row>
    <row r="22" spans="1:1" x14ac:dyDescent="0.35">
      <c r="A22" s="4">
        <v>59</v>
      </c>
    </row>
    <row r="23" spans="1:1" x14ac:dyDescent="0.35">
      <c r="A23" s="4">
        <v>53</v>
      </c>
    </row>
    <row r="24" spans="1:1" x14ac:dyDescent="0.35">
      <c r="A24" s="4">
        <v>62</v>
      </c>
    </row>
    <row r="25" spans="1:1" x14ac:dyDescent="0.35">
      <c r="A25" s="4">
        <v>118</v>
      </c>
    </row>
    <row r="26" spans="1:1" x14ac:dyDescent="0.35">
      <c r="A26" s="4">
        <v>70</v>
      </c>
    </row>
    <row r="27" spans="1:1" x14ac:dyDescent="0.35">
      <c r="A27" s="4">
        <v>33</v>
      </c>
    </row>
    <row r="28" spans="1:1" x14ac:dyDescent="0.35">
      <c r="A28" s="4">
        <v>96</v>
      </c>
    </row>
    <row r="29" spans="1:1" x14ac:dyDescent="0.35">
      <c r="A29" s="4">
        <v>18</v>
      </c>
    </row>
    <row r="30" spans="1:1" x14ac:dyDescent="0.35">
      <c r="A30" s="4">
        <v>54</v>
      </c>
    </row>
    <row r="31" spans="1:1" x14ac:dyDescent="0.35">
      <c r="A31" s="4">
        <v>29</v>
      </c>
    </row>
    <row r="32" spans="1:1" x14ac:dyDescent="0.35">
      <c r="A32" s="4">
        <v>100</v>
      </c>
    </row>
    <row r="33" spans="1:1" x14ac:dyDescent="0.35">
      <c r="A33" s="4">
        <v>54</v>
      </c>
    </row>
    <row r="34" spans="1:1" x14ac:dyDescent="0.35">
      <c r="A34" s="4">
        <v>120</v>
      </c>
    </row>
    <row r="35" spans="1:1" x14ac:dyDescent="0.35">
      <c r="A35" s="4">
        <v>44</v>
      </c>
    </row>
    <row r="36" spans="1:1" x14ac:dyDescent="0.35">
      <c r="A36" s="4">
        <v>34</v>
      </c>
    </row>
    <row r="37" spans="1:1" x14ac:dyDescent="0.35">
      <c r="A37" s="4">
        <v>33</v>
      </c>
    </row>
    <row r="38" spans="1:1" x14ac:dyDescent="0.35">
      <c r="A38" s="4">
        <v>50</v>
      </c>
    </row>
    <row r="39" spans="1:1" x14ac:dyDescent="0.35">
      <c r="A39" s="4">
        <v>97</v>
      </c>
    </row>
    <row r="40" spans="1:1" x14ac:dyDescent="0.35">
      <c r="A40" s="4">
        <v>69</v>
      </c>
    </row>
    <row r="41" spans="1:1" x14ac:dyDescent="0.35">
      <c r="A41" s="4">
        <v>104</v>
      </c>
    </row>
    <row r="42" spans="1:1" x14ac:dyDescent="0.35">
      <c r="A42" s="4">
        <v>62</v>
      </c>
    </row>
    <row r="43" spans="1:1" x14ac:dyDescent="0.35">
      <c r="A43" s="4">
        <v>71</v>
      </c>
    </row>
    <row r="44" spans="1:1" x14ac:dyDescent="0.35">
      <c r="A44" s="4">
        <v>23</v>
      </c>
    </row>
    <row r="45" spans="1:1" x14ac:dyDescent="0.35">
      <c r="A45" s="4">
        <v>47</v>
      </c>
    </row>
    <row r="46" spans="1:1" x14ac:dyDescent="0.35">
      <c r="A46" s="4">
        <v>55</v>
      </c>
    </row>
    <row r="47" spans="1:1" x14ac:dyDescent="0.35">
      <c r="A47" s="4">
        <v>49</v>
      </c>
    </row>
    <row r="48" spans="1:1" x14ac:dyDescent="0.35">
      <c r="A48" s="4">
        <v>47</v>
      </c>
    </row>
    <row r="49" spans="1:1" x14ac:dyDescent="0.35">
      <c r="A49" s="4">
        <v>80</v>
      </c>
    </row>
    <row r="50" spans="1:1" x14ac:dyDescent="0.35">
      <c r="A50" s="4">
        <v>49</v>
      </c>
    </row>
    <row r="51" spans="1:1" x14ac:dyDescent="0.35">
      <c r="A51" s="4">
        <v>109</v>
      </c>
    </row>
    <row r="52" spans="1:1" x14ac:dyDescent="0.35">
      <c r="A52" s="4">
        <v>28</v>
      </c>
    </row>
    <row r="53" spans="1:1" x14ac:dyDescent="0.35">
      <c r="A53" s="4">
        <v>35</v>
      </c>
    </row>
    <row r="54" spans="1:1" x14ac:dyDescent="0.35">
      <c r="A54" s="4">
        <v>89</v>
      </c>
    </row>
    <row r="55" spans="1:1" x14ac:dyDescent="0.35">
      <c r="A55" s="4">
        <v>52</v>
      </c>
    </row>
    <row r="56" spans="1:1" x14ac:dyDescent="0.35">
      <c r="A56" s="4">
        <v>31</v>
      </c>
    </row>
    <row r="57" spans="1:1" x14ac:dyDescent="0.35">
      <c r="A57" s="4">
        <v>57</v>
      </c>
    </row>
    <row r="58" spans="1:1" x14ac:dyDescent="0.35">
      <c r="A58" s="4">
        <v>109</v>
      </c>
    </row>
    <row r="59" spans="1:1" x14ac:dyDescent="0.35">
      <c r="A59" s="4">
        <v>85</v>
      </c>
    </row>
    <row r="60" spans="1:1" x14ac:dyDescent="0.35">
      <c r="A60" s="4">
        <v>73</v>
      </c>
    </row>
    <row r="61" spans="1:1" x14ac:dyDescent="0.35">
      <c r="A61" s="4">
        <v>89</v>
      </c>
    </row>
    <row r="62" spans="1:1" x14ac:dyDescent="0.35">
      <c r="A62" s="4">
        <v>30</v>
      </c>
    </row>
    <row r="63" spans="1:1" x14ac:dyDescent="0.35">
      <c r="A63" s="4">
        <v>82</v>
      </c>
    </row>
    <row r="64" spans="1:1" x14ac:dyDescent="0.35">
      <c r="A64" s="4">
        <v>113</v>
      </c>
    </row>
    <row r="65" spans="1:1" x14ac:dyDescent="0.35">
      <c r="A65" s="4">
        <v>16</v>
      </c>
    </row>
    <row r="66" spans="1:1" x14ac:dyDescent="0.35">
      <c r="A66" s="4">
        <v>82</v>
      </c>
    </row>
    <row r="67" spans="1:1" x14ac:dyDescent="0.35">
      <c r="A67" s="4">
        <v>10</v>
      </c>
    </row>
    <row r="68" spans="1:1" x14ac:dyDescent="0.35">
      <c r="A68" s="4">
        <v>46</v>
      </c>
    </row>
    <row r="69" spans="1:1" x14ac:dyDescent="0.35">
      <c r="A69" s="4">
        <v>85</v>
      </c>
    </row>
    <row r="70" spans="1:1" x14ac:dyDescent="0.35">
      <c r="A70" s="4">
        <v>71</v>
      </c>
    </row>
    <row r="71" spans="1:1" x14ac:dyDescent="0.35">
      <c r="A71" s="4">
        <v>13</v>
      </c>
    </row>
    <row r="72" spans="1:1" x14ac:dyDescent="0.35">
      <c r="A72" s="4">
        <v>64</v>
      </c>
    </row>
    <row r="73" spans="1:1" x14ac:dyDescent="0.35">
      <c r="A73" s="4">
        <v>109</v>
      </c>
    </row>
    <row r="74" spans="1:1" x14ac:dyDescent="0.35">
      <c r="A74" s="4">
        <v>97</v>
      </c>
    </row>
    <row r="75" spans="1:1" x14ac:dyDescent="0.35">
      <c r="A75" s="4">
        <v>109</v>
      </c>
    </row>
    <row r="76" spans="1:1" x14ac:dyDescent="0.35">
      <c r="A76" s="4">
        <v>102</v>
      </c>
    </row>
    <row r="77" spans="1:1" x14ac:dyDescent="0.35">
      <c r="A77" s="4">
        <v>29</v>
      </c>
    </row>
    <row r="78" spans="1:1" x14ac:dyDescent="0.35">
      <c r="A78" s="4">
        <v>94</v>
      </c>
    </row>
    <row r="79" spans="1:1" x14ac:dyDescent="0.35">
      <c r="A79" s="4">
        <v>56</v>
      </c>
    </row>
    <row r="80" spans="1:1" x14ac:dyDescent="0.35">
      <c r="A80" s="4">
        <v>85</v>
      </c>
    </row>
    <row r="81" spans="1:1" x14ac:dyDescent="0.35">
      <c r="A81" s="4">
        <v>107</v>
      </c>
    </row>
    <row r="82" spans="1:1" x14ac:dyDescent="0.35">
      <c r="A82" s="4">
        <v>90</v>
      </c>
    </row>
    <row r="83" spans="1:1" x14ac:dyDescent="0.35">
      <c r="A83" s="4">
        <v>63</v>
      </c>
    </row>
    <row r="84" spans="1:1" x14ac:dyDescent="0.35">
      <c r="A84" s="4">
        <v>55</v>
      </c>
    </row>
    <row r="85" spans="1:1" x14ac:dyDescent="0.35">
      <c r="A85" s="4">
        <v>68</v>
      </c>
    </row>
    <row r="86" spans="1:1" x14ac:dyDescent="0.35">
      <c r="A86" s="4">
        <v>96</v>
      </c>
    </row>
    <row r="87" spans="1:1" x14ac:dyDescent="0.35">
      <c r="A87" s="4">
        <v>95</v>
      </c>
    </row>
    <row r="88" spans="1:1" x14ac:dyDescent="0.35">
      <c r="A88" s="4">
        <v>59</v>
      </c>
    </row>
    <row r="89" spans="1:1" x14ac:dyDescent="0.35">
      <c r="A89" s="4">
        <v>25</v>
      </c>
    </row>
    <row r="90" spans="1:1" x14ac:dyDescent="0.35">
      <c r="A90" s="4">
        <v>48</v>
      </c>
    </row>
    <row r="91" spans="1:1" x14ac:dyDescent="0.35">
      <c r="A91" s="4">
        <v>85</v>
      </c>
    </row>
    <row r="92" spans="1:1" x14ac:dyDescent="0.35">
      <c r="A92" s="4">
        <v>77</v>
      </c>
    </row>
    <row r="93" spans="1:1" x14ac:dyDescent="0.35">
      <c r="A93" s="4">
        <v>33</v>
      </c>
    </row>
    <row r="94" spans="1:1" x14ac:dyDescent="0.35">
      <c r="A94" s="4">
        <v>58</v>
      </c>
    </row>
    <row r="95" spans="1:1" x14ac:dyDescent="0.35">
      <c r="A95" s="4">
        <v>78</v>
      </c>
    </row>
    <row r="96" spans="1:1" x14ac:dyDescent="0.35">
      <c r="A96" s="4">
        <v>107</v>
      </c>
    </row>
    <row r="97" spans="1:1" x14ac:dyDescent="0.35">
      <c r="A97" s="4">
        <v>63</v>
      </c>
    </row>
    <row r="98" spans="1:1" x14ac:dyDescent="0.35">
      <c r="A98" s="4">
        <v>41</v>
      </c>
    </row>
    <row r="99" spans="1:1" x14ac:dyDescent="0.35">
      <c r="A99" s="4">
        <v>99</v>
      </c>
    </row>
    <row r="100" spans="1:1" x14ac:dyDescent="0.35">
      <c r="A100" s="4">
        <v>34</v>
      </c>
    </row>
    <row r="101" spans="1:1" x14ac:dyDescent="0.35">
      <c r="A101" s="4">
        <v>33</v>
      </c>
    </row>
    <row r="102" spans="1:1" x14ac:dyDescent="0.35">
      <c r="A102" s="4">
        <v>92</v>
      </c>
    </row>
    <row r="103" spans="1:1" x14ac:dyDescent="0.35">
      <c r="A103" s="4">
        <v>63</v>
      </c>
    </row>
    <row r="104" spans="1:1" x14ac:dyDescent="0.35">
      <c r="A104" s="4">
        <v>35</v>
      </c>
    </row>
    <row r="105" spans="1:1" x14ac:dyDescent="0.35">
      <c r="A105" s="4">
        <v>60</v>
      </c>
    </row>
    <row r="106" spans="1:1" x14ac:dyDescent="0.35">
      <c r="A106" s="4">
        <v>43</v>
      </c>
    </row>
    <row r="107" spans="1:1" x14ac:dyDescent="0.35">
      <c r="A107" s="4">
        <v>120</v>
      </c>
    </row>
    <row r="108" spans="1:1" x14ac:dyDescent="0.35">
      <c r="A108" s="4">
        <v>88</v>
      </c>
    </row>
    <row r="109" spans="1:1" x14ac:dyDescent="0.35">
      <c r="A109" s="4">
        <v>64</v>
      </c>
    </row>
    <row r="110" spans="1:1" x14ac:dyDescent="0.35">
      <c r="A110" s="4">
        <v>10</v>
      </c>
    </row>
    <row r="111" spans="1:1" x14ac:dyDescent="0.35">
      <c r="A111" s="4">
        <v>15</v>
      </c>
    </row>
    <row r="112" spans="1:1" x14ac:dyDescent="0.35">
      <c r="A112" s="4">
        <v>11</v>
      </c>
    </row>
    <row r="113" spans="1:1" x14ac:dyDescent="0.35">
      <c r="A113" s="4">
        <v>114</v>
      </c>
    </row>
    <row r="114" spans="1:1" x14ac:dyDescent="0.35">
      <c r="A114" s="4">
        <v>52</v>
      </c>
    </row>
    <row r="115" spans="1:1" x14ac:dyDescent="0.35">
      <c r="A115" s="4">
        <v>53</v>
      </c>
    </row>
    <row r="116" spans="1:1" x14ac:dyDescent="0.35">
      <c r="A116" s="4">
        <v>43</v>
      </c>
    </row>
    <row r="117" spans="1:1" x14ac:dyDescent="0.35">
      <c r="A117" s="4">
        <v>86</v>
      </c>
    </row>
    <row r="118" spans="1:1" x14ac:dyDescent="0.35">
      <c r="A118" s="4">
        <v>39</v>
      </c>
    </row>
    <row r="119" spans="1:1" x14ac:dyDescent="0.35">
      <c r="A119" s="4">
        <v>36</v>
      </c>
    </row>
    <row r="120" spans="1:1" x14ac:dyDescent="0.35">
      <c r="A120" s="4">
        <v>46</v>
      </c>
    </row>
    <row r="121" spans="1:1" x14ac:dyDescent="0.35">
      <c r="A121" s="4">
        <v>81</v>
      </c>
    </row>
    <row r="122" spans="1:1" x14ac:dyDescent="0.35">
      <c r="A122" s="4">
        <v>11</v>
      </c>
    </row>
    <row r="123" spans="1:1" x14ac:dyDescent="0.35">
      <c r="A123" s="4">
        <v>115</v>
      </c>
    </row>
    <row r="124" spans="1:1" x14ac:dyDescent="0.35">
      <c r="A124" s="4">
        <v>53</v>
      </c>
    </row>
    <row r="125" spans="1:1" x14ac:dyDescent="0.35">
      <c r="A125" s="4">
        <v>58</v>
      </c>
    </row>
    <row r="126" spans="1:1" x14ac:dyDescent="0.35">
      <c r="A126" s="4">
        <v>16</v>
      </c>
    </row>
    <row r="127" spans="1:1" x14ac:dyDescent="0.35">
      <c r="A127" s="4">
        <v>46</v>
      </c>
    </row>
    <row r="128" spans="1:1" x14ac:dyDescent="0.35">
      <c r="A128" s="4">
        <v>112</v>
      </c>
    </row>
    <row r="129" spans="1:1" x14ac:dyDescent="0.35">
      <c r="A129" s="4">
        <v>105</v>
      </c>
    </row>
    <row r="130" spans="1:1" x14ac:dyDescent="0.35">
      <c r="A130" s="4">
        <v>78</v>
      </c>
    </row>
    <row r="131" spans="1:1" x14ac:dyDescent="0.35">
      <c r="A131" s="4">
        <v>27</v>
      </c>
    </row>
    <row r="132" spans="1:1" x14ac:dyDescent="0.35">
      <c r="A132" s="4">
        <v>36</v>
      </c>
    </row>
    <row r="133" spans="1:1" x14ac:dyDescent="0.35">
      <c r="A133" s="4">
        <v>93</v>
      </c>
    </row>
    <row r="134" spans="1:1" x14ac:dyDescent="0.35">
      <c r="A134" s="4">
        <v>31</v>
      </c>
    </row>
    <row r="135" spans="1:1" x14ac:dyDescent="0.35">
      <c r="A135" s="4">
        <v>107</v>
      </c>
    </row>
    <row r="136" spans="1:1" x14ac:dyDescent="0.35">
      <c r="A136" s="4">
        <v>40</v>
      </c>
    </row>
    <row r="137" spans="1:1" x14ac:dyDescent="0.35">
      <c r="A137" s="4">
        <v>40</v>
      </c>
    </row>
    <row r="138" spans="1:1" x14ac:dyDescent="0.35">
      <c r="A138" s="4">
        <v>104</v>
      </c>
    </row>
    <row r="139" spans="1:1" x14ac:dyDescent="0.35">
      <c r="A139" s="4">
        <v>84</v>
      </c>
    </row>
    <row r="140" spans="1:1" x14ac:dyDescent="0.35">
      <c r="A140" s="4">
        <v>26</v>
      </c>
    </row>
    <row r="141" spans="1:1" x14ac:dyDescent="0.35">
      <c r="A141" s="4">
        <v>19</v>
      </c>
    </row>
    <row r="142" spans="1:1" x14ac:dyDescent="0.35">
      <c r="A142" s="4">
        <v>50</v>
      </c>
    </row>
    <row r="143" spans="1:1" x14ac:dyDescent="0.35">
      <c r="A143" s="4">
        <v>100</v>
      </c>
    </row>
    <row r="144" spans="1:1" x14ac:dyDescent="0.35">
      <c r="A144" s="4">
        <v>18</v>
      </c>
    </row>
    <row r="145" spans="1:1" x14ac:dyDescent="0.35">
      <c r="A145" s="4">
        <v>62</v>
      </c>
    </row>
    <row r="146" spans="1:1" x14ac:dyDescent="0.35">
      <c r="A146" s="4">
        <v>70</v>
      </c>
    </row>
    <row r="147" spans="1:1" x14ac:dyDescent="0.35">
      <c r="A147" s="4">
        <v>46</v>
      </c>
    </row>
    <row r="148" spans="1:1" x14ac:dyDescent="0.35">
      <c r="A148" s="4">
        <v>70</v>
      </c>
    </row>
    <row r="149" spans="1:1" x14ac:dyDescent="0.35">
      <c r="A149" s="4">
        <v>80</v>
      </c>
    </row>
    <row r="150" spans="1:1" x14ac:dyDescent="0.35">
      <c r="A150" s="4">
        <v>100</v>
      </c>
    </row>
    <row r="151" spans="1:1" x14ac:dyDescent="0.35">
      <c r="A151" s="4">
        <v>61</v>
      </c>
    </row>
    <row r="152" spans="1:1" x14ac:dyDescent="0.35">
      <c r="A152" s="4">
        <v>98</v>
      </c>
    </row>
    <row r="153" spans="1:1" x14ac:dyDescent="0.35">
      <c r="A153" s="4">
        <v>66</v>
      </c>
    </row>
    <row r="154" spans="1:1" x14ac:dyDescent="0.35">
      <c r="A154" s="4">
        <v>88</v>
      </c>
    </row>
    <row r="155" spans="1:1" x14ac:dyDescent="0.35">
      <c r="A155" s="4">
        <v>107</v>
      </c>
    </row>
    <row r="156" spans="1:1" x14ac:dyDescent="0.35">
      <c r="A156" s="4">
        <v>17</v>
      </c>
    </row>
    <row r="157" spans="1:1" x14ac:dyDescent="0.35">
      <c r="A157" s="4">
        <v>27</v>
      </c>
    </row>
    <row r="158" spans="1:1" x14ac:dyDescent="0.35">
      <c r="A158" s="4">
        <v>114</v>
      </c>
    </row>
    <row r="159" spans="1:1" x14ac:dyDescent="0.35">
      <c r="A159" s="4">
        <v>41</v>
      </c>
    </row>
    <row r="160" spans="1:1" x14ac:dyDescent="0.35">
      <c r="A160" s="4">
        <v>44</v>
      </c>
    </row>
    <row r="161" spans="1:1" x14ac:dyDescent="0.35">
      <c r="A161" s="4">
        <v>44</v>
      </c>
    </row>
    <row r="162" spans="1:1" x14ac:dyDescent="0.35">
      <c r="A162" s="4">
        <v>103</v>
      </c>
    </row>
    <row r="163" spans="1:1" x14ac:dyDescent="0.35">
      <c r="A163" s="4">
        <v>108</v>
      </c>
    </row>
    <row r="164" spans="1:1" x14ac:dyDescent="0.35">
      <c r="A164" s="4">
        <v>20</v>
      </c>
    </row>
    <row r="165" spans="1:1" x14ac:dyDescent="0.35">
      <c r="A165" s="4">
        <v>119</v>
      </c>
    </row>
    <row r="166" spans="1:1" x14ac:dyDescent="0.35">
      <c r="A166" s="4">
        <v>107</v>
      </c>
    </row>
    <row r="167" spans="1:1" x14ac:dyDescent="0.35">
      <c r="A167" s="4">
        <v>19</v>
      </c>
    </row>
    <row r="168" spans="1:1" x14ac:dyDescent="0.35">
      <c r="A168" s="4">
        <v>54</v>
      </c>
    </row>
    <row r="169" spans="1:1" x14ac:dyDescent="0.35">
      <c r="A169" s="4">
        <v>95</v>
      </c>
    </row>
    <row r="170" spans="1:1" x14ac:dyDescent="0.35">
      <c r="A170" s="4">
        <v>87</v>
      </c>
    </row>
    <row r="171" spans="1:1" x14ac:dyDescent="0.35">
      <c r="A171" s="4">
        <v>23</v>
      </c>
    </row>
    <row r="172" spans="1:1" x14ac:dyDescent="0.35">
      <c r="A172" s="4">
        <v>115</v>
      </c>
    </row>
    <row r="173" spans="1:1" x14ac:dyDescent="0.35">
      <c r="A173" s="4">
        <v>18</v>
      </c>
    </row>
    <row r="174" spans="1:1" x14ac:dyDescent="0.35">
      <c r="A174" s="4">
        <v>23</v>
      </c>
    </row>
    <row r="175" spans="1:1" x14ac:dyDescent="0.35">
      <c r="A175" s="4">
        <v>57</v>
      </c>
    </row>
    <row r="176" spans="1:1" x14ac:dyDescent="0.35">
      <c r="A176" s="4">
        <v>120</v>
      </c>
    </row>
    <row r="177" spans="1:1" x14ac:dyDescent="0.35">
      <c r="A177" s="4">
        <v>15</v>
      </c>
    </row>
    <row r="178" spans="1:1" x14ac:dyDescent="0.35">
      <c r="A178" s="4">
        <v>62</v>
      </c>
    </row>
    <row r="179" spans="1:1" x14ac:dyDescent="0.35">
      <c r="A179" s="4">
        <v>47</v>
      </c>
    </row>
    <row r="180" spans="1:1" x14ac:dyDescent="0.35">
      <c r="A180" s="4">
        <v>62</v>
      </c>
    </row>
    <row r="181" spans="1:1" x14ac:dyDescent="0.35">
      <c r="A181" s="4">
        <v>47</v>
      </c>
    </row>
    <row r="182" spans="1:1" x14ac:dyDescent="0.35">
      <c r="A182" s="4">
        <v>38</v>
      </c>
    </row>
    <row r="183" spans="1:1" x14ac:dyDescent="0.35">
      <c r="A183" s="4">
        <v>37</v>
      </c>
    </row>
    <row r="184" spans="1:1" x14ac:dyDescent="0.35">
      <c r="A184" s="4">
        <v>68</v>
      </c>
    </row>
    <row r="185" spans="1:1" x14ac:dyDescent="0.35">
      <c r="A185" s="4">
        <v>109</v>
      </c>
    </row>
    <row r="186" spans="1:1" x14ac:dyDescent="0.35">
      <c r="A186" s="4">
        <v>60</v>
      </c>
    </row>
    <row r="187" spans="1:1" x14ac:dyDescent="0.35">
      <c r="A187" s="4">
        <v>110</v>
      </c>
    </row>
    <row r="188" spans="1:1" x14ac:dyDescent="0.35">
      <c r="A188" s="4">
        <v>80</v>
      </c>
    </row>
    <row r="189" spans="1:1" x14ac:dyDescent="0.35">
      <c r="A189" s="4">
        <v>92</v>
      </c>
    </row>
    <row r="190" spans="1:1" x14ac:dyDescent="0.35">
      <c r="A190" s="4">
        <v>117</v>
      </c>
    </row>
    <row r="191" spans="1:1" x14ac:dyDescent="0.35">
      <c r="A191" s="4">
        <v>120</v>
      </c>
    </row>
    <row r="192" spans="1:1" x14ac:dyDescent="0.35">
      <c r="A192" s="4">
        <v>88</v>
      </c>
    </row>
    <row r="193" spans="1:1" x14ac:dyDescent="0.35">
      <c r="A193" s="4">
        <v>97</v>
      </c>
    </row>
    <row r="194" spans="1:1" x14ac:dyDescent="0.35">
      <c r="A194" s="4">
        <v>119</v>
      </c>
    </row>
    <row r="195" spans="1:1" x14ac:dyDescent="0.35">
      <c r="A195" s="4">
        <v>57</v>
      </c>
    </row>
    <row r="196" spans="1:1" x14ac:dyDescent="0.35">
      <c r="A196" s="4">
        <v>62</v>
      </c>
    </row>
    <row r="197" spans="1:1" x14ac:dyDescent="0.35">
      <c r="A197" s="4">
        <v>29</v>
      </c>
    </row>
    <row r="198" spans="1:1" x14ac:dyDescent="0.35">
      <c r="A198" s="4">
        <v>56</v>
      </c>
    </row>
    <row r="199" spans="1:1" x14ac:dyDescent="0.35">
      <c r="A199" s="4">
        <v>104</v>
      </c>
    </row>
    <row r="200" spans="1:1" x14ac:dyDescent="0.35">
      <c r="A200" s="4">
        <v>50</v>
      </c>
    </row>
    <row r="201" spans="1:1" x14ac:dyDescent="0.35">
      <c r="A201" s="4">
        <v>92</v>
      </c>
    </row>
    <row r="202" spans="1:1" x14ac:dyDescent="0.35">
      <c r="A202" s="4">
        <v>82</v>
      </c>
    </row>
    <row r="203" spans="1:1" x14ac:dyDescent="0.35">
      <c r="A203" s="4">
        <v>52</v>
      </c>
    </row>
    <row r="204" spans="1:1" x14ac:dyDescent="0.35">
      <c r="A204" s="4">
        <v>68</v>
      </c>
    </row>
    <row r="205" spans="1:1" x14ac:dyDescent="0.35">
      <c r="A205" s="4">
        <v>98</v>
      </c>
    </row>
    <row r="206" spans="1:1" x14ac:dyDescent="0.35">
      <c r="A206" s="4">
        <v>73</v>
      </c>
    </row>
    <row r="207" spans="1:1" x14ac:dyDescent="0.35">
      <c r="A207" s="4">
        <v>41</v>
      </c>
    </row>
    <row r="208" spans="1:1" x14ac:dyDescent="0.35">
      <c r="A208" s="4">
        <v>76</v>
      </c>
    </row>
    <row r="209" spans="1:1" x14ac:dyDescent="0.35">
      <c r="A209" s="4">
        <v>74</v>
      </c>
    </row>
    <row r="210" spans="1:1" x14ac:dyDescent="0.35">
      <c r="A210" s="4">
        <v>23</v>
      </c>
    </row>
    <row r="211" spans="1:1" x14ac:dyDescent="0.35">
      <c r="A211" s="4">
        <v>120</v>
      </c>
    </row>
    <row r="212" spans="1:1" x14ac:dyDescent="0.35">
      <c r="A212" s="4">
        <v>45</v>
      </c>
    </row>
    <row r="213" spans="1:1" x14ac:dyDescent="0.35">
      <c r="A213" s="4">
        <v>119</v>
      </c>
    </row>
    <row r="214" spans="1:1" x14ac:dyDescent="0.35">
      <c r="A214" s="4">
        <v>24</v>
      </c>
    </row>
    <row r="215" spans="1:1" x14ac:dyDescent="0.35">
      <c r="A215" s="4">
        <v>56</v>
      </c>
    </row>
    <row r="216" spans="1:1" x14ac:dyDescent="0.35">
      <c r="A216" s="4">
        <v>21</v>
      </c>
    </row>
    <row r="217" spans="1:1" x14ac:dyDescent="0.35">
      <c r="A217" s="4">
        <v>24</v>
      </c>
    </row>
    <row r="218" spans="1:1" x14ac:dyDescent="0.35">
      <c r="A218" s="4">
        <v>37</v>
      </c>
    </row>
    <row r="219" spans="1:1" x14ac:dyDescent="0.35">
      <c r="A219" s="4">
        <v>66</v>
      </c>
    </row>
    <row r="220" spans="1:1" x14ac:dyDescent="0.35">
      <c r="A220" s="4">
        <v>54</v>
      </c>
    </row>
    <row r="221" spans="1:1" x14ac:dyDescent="0.35">
      <c r="A221" s="4">
        <v>102</v>
      </c>
    </row>
    <row r="222" spans="1:1" x14ac:dyDescent="0.35">
      <c r="A222" s="4">
        <v>30</v>
      </c>
    </row>
    <row r="223" spans="1:1" x14ac:dyDescent="0.35">
      <c r="A223" s="4">
        <v>61</v>
      </c>
    </row>
    <row r="224" spans="1:1" x14ac:dyDescent="0.35">
      <c r="A224" s="4">
        <v>72</v>
      </c>
    </row>
    <row r="225" spans="1:1" x14ac:dyDescent="0.35">
      <c r="A225" s="4">
        <v>74</v>
      </c>
    </row>
    <row r="226" spans="1:1" x14ac:dyDescent="0.35">
      <c r="A226" s="4">
        <v>99</v>
      </c>
    </row>
    <row r="227" spans="1:1" x14ac:dyDescent="0.35">
      <c r="A227" s="4">
        <v>112</v>
      </c>
    </row>
    <row r="228" spans="1:1" x14ac:dyDescent="0.35">
      <c r="A228" s="4">
        <v>11</v>
      </c>
    </row>
    <row r="229" spans="1:1" x14ac:dyDescent="0.35">
      <c r="A229" s="4">
        <v>117</v>
      </c>
    </row>
    <row r="230" spans="1:1" x14ac:dyDescent="0.35">
      <c r="A230" s="4">
        <v>76</v>
      </c>
    </row>
    <row r="231" spans="1:1" x14ac:dyDescent="0.35">
      <c r="A231" s="4">
        <v>50</v>
      </c>
    </row>
    <row r="232" spans="1:1" x14ac:dyDescent="0.35">
      <c r="A232" s="4">
        <v>25</v>
      </c>
    </row>
    <row r="233" spans="1:1" x14ac:dyDescent="0.35">
      <c r="A233" s="4">
        <v>68</v>
      </c>
    </row>
    <row r="234" spans="1:1" x14ac:dyDescent="0.35">
      <c r="A234" s="4">
        <v>32</v>
      </c>
    </row>
    <row r="235" spans="1:1" x14ac:dyDescent="0.35">
      <c r="A235" s="4">
        <v>37</v>
      </c>
    </row>
    <row r="236" spans="1:1" x14ac:dyDescent="0.35">
      <c r="A236" s="4">
        <v>61</v>
      </c>
    </row>
    <row r="237" spans="1:1" x14ac:dyDescent="0.35">
      <c r="A237" s="4">
        <v>58</v>
      </c>
    </row>
    <row r="238" spans="1:1" x14ac:dyDescent="0.35">
      <c r="A238" s="4">
        <v>117</v>
      </c>
    </row>
    <row r="239" spans="1:1" x14ac:dyDescent="0.35">
      <c r="A239" s="4">
        <v>78</v>
      </c>
    </row>
    <row r="240" spans="1:1" x14ac:dyDescent="0.35">
      <c r="A240" s="4">
        <v>20</v>
      </c>
    </row>
    <row r="241" spans="1:1" x14ac:dyDescent="0.35">
      <c r="A241" s="4">
        <v>24</v>
      </c>
    </row>
    <row r="242" spans="1:1" x14ac:dyDescent="0.35">
      <c r="A242" s="4">
        <v>44</v>
      </c>
    </row>
    <row r="243" spans="1:1" x14ac:dyDescent="0.35">
      <c r="A243" s="4">
        <v>82</v>
      </c>
    </row>
    <row r="244" spans="1:1" x14ac:dyDescent="0.35">
      <c r="A244" s="4">
        <v>58</v>
      </c>
    </row>
    <row r="245" spans="1:1" x14ac:dyDescent="0.35">
      <c r="A245" s="4">
        <v>104</v>
      </c>
    </row>
    <row r="246" spans="1:1" x14ac:dyDescent="0.35">
      <c r="A246" s="4">
        <v>14</v>
      </c>
    </row>
    <row r="247" spans="1:1" x14ac:dyDescent="0.35">
      <c r="A247" s="4">
        <v>33</v>
      </c>
    </row>
    <row r="248" spans="1:1" x14ac:dyDescent="0.35">
      <c r="A248" s="4">
        <v>24</v>
      </c>
    </row>
    <row r="249" spans="1:1" x14ac:dyDescent="0.35">
      <c r="A249" s="4">
        <v>62</v>
      </c>
    </row>
    <row r="250" spans="1:1" x14ac:dyDescent="0.35">
      <c r="A250" s="4">
        <v>119</v>
      </c>
    </row>
    <row r="251" spans="1:1" x14ac:dyDescent="0.35">
      <c r="A251" s="4">
        <v>37</v>
      </c>
    </row>
    <row r="252" spans="1:1" x14ac:dyDescent="0.35">
      <c r="A252" s="4">
        <v>29</v>
      </c>
    </row>
    <row r="253" spans="1:1" x14ac:dyDescent="0.35">
      <c r="A253" s="4">
        <v>42</v>
      </c>
    </row>
    <row r="254" spans="1:1" x14ac:dyDescent="0.35">
      <c r="A254" s="4">
        <v>83</v>
      </c>
    </row>
    <row r="255" spans="1:1" x14ac:dyDescent="0.35">
      <c r="A255" s="4">
        <v>42</v>
      </c>
    </row>
    <row r="256" spans="1:1" x14ac:dyDescent="0.35">
      <c r="A256" s="4">
        <v>78</v>
      </c>
    </row>
    <row r="257" spans="1:1" x14ac:dyDescent="0.35">
      <c r="A257" s="4">
        <v>70</v>
      </c>
    </row>
    <row r="258" spans="1:1" x14ac:dyDescent="0.35">
      <c r="A258" s="4">
        <v>14</v>
      </c>
    </row>
    <row r="259" spans="1:1" x14ac:dyDescent="0.35">
      <c r="A259" s="4">
        <v>69</v>
      </c>
    </row>
    <row r="260" spans="1:1" x14ac:dyDescent="0.35">
      <c r="A260" s="4">
        <v>46</v>
      </c>
    </row>
    <row r="261" spans="1:1" x14ac:dyDescent="0.35">
      <c r="A261" s="4">
        <v>66</v>
      </c>
    </row>
    <row r="262" spans="1:1" x14ac:dyDescent="0.35">
      <c r="A262" s="4">
        <v>75</v>
      </c>
    </row>
    <row r="263" spans="1:1" x14ac:dyDescent="0.35">
      <c r="A263" s="4">
        <v>29</v>
      </c>
    </row>
    <row r="264" spans="1:1" x14ac:dyDescent="0.35">
      <c r="A264" s="4">
        <v>11</v>
      </c>
    </row>
    <row r="265" spans="1:1" x14ac:dyDescent="0.35">
      <c r="A265" s="4">
        <v>114</v>
      </c>
    </row>
    <row r="266" spans="1:1" x14ac:dyDescent="0.35">
      <c r="A266" s="4">
        <v>62</v>
      </c>
    </row>
    <row r="267" spans="1:1" x14ac:dyDescent="0.35">
      <c r="A267" s="4">
        <v>12</v>
      </c>
    </row>
    <row r="268" spans="1:1" x14ac:dyDescent="0.35">
      <c r="A268" s="4">
        <v>44</v>
      </c>
    </row>
    <row r="269" spans="1:1" x14ac:dyDescent="0.35">
      <c r="A269" s="4">
        <v>25</v>
      </c>
    </row>
    <row r="270" spans="1:1" x14ac:dyDescent="0.35">
      <c r="A270" s="4">
        <v>14</v>
      </c>
    </row>
    <row r="271" spans="1:1" x14ac:dyDescent="0.35">
      <c r="A271" s="4">
        <v>26</v>
      </c>
    </row>
    <row r="272" spans="1:1" x14ac:dyDescent="0.35">
      <c r="A272" s="4">
        <v>102</v>
      </c>
    </row>
    <row r="273" spans="1:1" x14ac:dyDescent="0.35">
      <c r="A273" s="4">
        <v>117</v>
      </c>
    </row>
    <row r="274" spans="1:1" x14ac:dyDescent="0.35">
      <c r="A274" s="4">
        <v>108</v>
      </c>
    </row>
    <row r="275" spans="1:1" x14ac:dyDescent="0.35">
      <c r="A275" s="4">
        <v>100</v>
      </c>
    </row>
    <row r="276" spans="1:1" x14ac:dyDescent="0.35">
      <c r="A276" s="4">
        <v>27</v>
      </c>
    </row>
    <row r="277" spans="1:1" x14ac:dyDescent="0.35">
      <c r="A277" s="4">
        <v>113</v>
      </c>
    </row>
    <row r="278" spans="1:1" x14ac:dyDescent="0.35">
      <c r="A278" s="4">
        <v>118</v>
      </c>
    </row>
    <row r="279" spans="1:1" x14ac:dyDescent="0.35">
      <c r="A279" s="4">
        <v>119</v>
      </c>
    </row>
    <row r="280" spans="1:1" x14ac:dyDescent="0.35">
      <c r="A280" s="4">
        <v>15</v>
      </c>
    </row>
    <row r="281" spans="1:1" x14ac:dyDescent="0.35">
      <c r="A281" s="4">
        <v>79</v>
      </c>
    </row>
    <row r="282" spans="1:1" x14ac:dyDescent="0.35">
      <c r="A282" s="4">
        <v>84</v>
      </c>
    </row>
    <row r="283" spans="1:1" x14ac:dyDescent="0.35">
      <c r="A283" s="4">
        <v>41</v>
      </c>
    </row>
    <row r="284" spans="1:1" x14ac:dyDescent="0.35">
      <c r="A284" s="4">
        <v>43</v>
      </c>
    </row>
    <row r="285" spans="1:1" x14ac:dyDescent="0.35">
      <c r="A285" s="4">
        <v>33</v>
      </c>
    </row>
    <row r="286" spans="1:1" x14ac:dyDescent="0.35">
      <c r="A286" s="4">
        <v>35</v>
      </c>
    </row>
    <row r="287" spans="1:1" x14ac:dyDescent="0.35">
      <c r="A287" s="4">
        <v>114</v>
      </c>
    </row>
    <row r="288" spans="1:1" x14ac:dyDescent="0.35">
      <c r="A288" s="4">
        <v>38</v>
      </c>
    </row>
    <row r="289" spans="1:1" x14ac:dyDescent="0.35">
      <c r="A289" s="4">
        <v>46</v>
      </c>
    </row>
    <row r="290" spans="1:1" x14ac:dyDescent="0.35">
      <c r="A290" s="4">
        <v>71</v>
      </c>
    </row>
    <row r="291" spans="1:1" x14ac:dyDescent="0.35">
      <c r="A291" s="4">
        <v>52</v>
      </c>
    </row>
    <row r="292" spans="1:1" x14ac:dyDescent="0.35">
      <c r="A292" s="4">
        <v>68</v>
      </c>
    </row>
    <row r="293" spans="1:1" x14ac:dyDescent="0.35">
      <c r="A293" s="4">
        <v>111</v>
      </c>
    </row>
    <row r="294" spans="1:1" x14ac:dyDescent="0.35">
      <c r="A294" s="4">
        <v>85</v>
      </c>
    </row>
    <row r="295" spans="1:1" x14ac:dyDescent="0.35">
      <c r="A295" s="4">
        <v>95</v>
      </c>
    </row>
    <row r="296" spans="1:1" x14ac:dyDescent="0.35">
      <c r="A296" s="4">
        <v>119</v>
      </c>
    </row>
    <row r="297" spans="1:1" x14ac:dyDescent="0.35">
      <c r="A297" s="4">
        <v>76</v>
      </c>
    </row>
    <row r="298" spans="1:1" x14ac:dyDescent="0.35">
      <c r="A298" s="4">
        <v>61</v>
      </c>
    </row>
    <row r="299" spans="1:1" x14ac:dyDescent="0.35">
      <c r="A299" s="4">
        <v>89</v>
      </c>
    </row>
    <row r="300" spans="1:1" x14ac:dyDescent="0.35">
      <c r="A300" s="4">
        <v>31</v>
      </c>
    </row>
    <row r="301" spans="1:1" x14ac:dyDescent="0.35">
      <c r="A301" s="4">
        <v>118</v>
      </c>
    </row>
    <row r="302" spans="1:1" x14ac:dyDescent="0.35">
      <c r="A302" s="4">
        <v>38</v>
      </c>
    </row>
    <row r="303" spans="1:1" x14ac:dyDescent="0.35">
      <c r="A303" s="4">
        <v>60</v>
      </c>
    </row>
    <row r="304" spans="1:1" x14ac:dyDescent="0.35">
      <c r="A304" s="4">
        <v>75</v>
      </c>
    </row>
    <row r="305" spans="1:1" x14ac:dyDescent="0.35">
      <c r="A305" s="4">
        <v>51</v>
      </c>
    </row>
    <row r="306" spans="1:1" x14ac:dyDescent="0.35">
      <c r="A306" s="4">
        <v>76</v>
      </c>
    </row>
    <row r="307" spans="1:1" x14ac:dyDescent="0.35">
      <c r="A307" s="4">
        <v>83</v>
      </c>
    </row>
    <row r="308" spans="1:1" x14ac:dyDescent="0.35">
      <c r="A308" s="4">
        <v>32</v>
      </c>
    </row>
    <row r="309" spans="1:1" x14ac:dyDescent="0.35">
      <c r="A309" s="4">
        <v>89</v>
      </c>
    </row>
    <row r="310" spans="1:1" x14ac:dyDescent="0.35">
      <c r="A310" s="4">
        <v>115</v>
      </c>
    </row>
    <row r="311" spans="1:1" x14ac:dyDescent="0.35">
      <c r="A311" s="4">
        <v>94</v>
      </c>
    </row>
    <row r="312" spans="1:1" x14ac:dyDescent="0.35">
      <c r="A312" s="4">
        <v>75</v>
      </c>
    </row>
    <row r="313" spans="1:1" x14ac:dyDescent="0.35">
      <c r="A313" s="4">
        <v>115</v>
      </c>
    </row>
    <row r="314" spans="1:1" x14ac:dyDescent="0.35">
      <c r="A314" s="4">
        <v>35</v>
      </c>
    </row>
    <row r="315" spans="1:1" x14ac:dyDescent="0.35">
      <c r="A315" s="4">
        <v>89</v>
      </c>
    </row>
    <row r="316" spans="1:1" x14ac:dyDescent="0.35">
      <c r="A316" s="4">
        <v>60</v>
      </c>
    </row>
    <row r="317" spans="1:1" x14ac:dyDescent="0.35">
      <c r="A317" s="4">
        <v>62</v>
      </c>
    </row>
    <row r="318" spans="1:1" x14ac:dyDescent="0.35">
      <c r="A318" s="4">
        <v>57</v>
      </c>
    </row>
    <row r="319" spans="1:1" x14ac:dyDescent="0.35">
      <c r="A319" s="4">
        <v>33</v>
      </c>
    </row>
    <row r="320" spans="1:1" x14ac:dyDescent="0.35">
      <c r="A320" s="4">
        <v>103</v>
      </c>
    </row>
    <row r="321" spans="1:1" x14ac:dyDescent="0.35">
      <c r="A321" s="4">
        <v>34</v>
      </c>
    </row>
    <row r="322" spans="1:1" x14ac:dyDescent="0.35">
      <c r="A322" s="4">
        <v>54</v>
      </c>
    </row>
    <row r="323" spans="1:1" x14ac:dyDescent="0.35">
      <c r="A323" s="4">
        <v>14</v>
      </c>
    </row>
    <row r="324" spans="1:1" x14ac:dyDescent="0.35">
      <c r="A324" s="4">
        <v>26</v>
      </c>
    </row>
    <row r="325" spans="1:1" x14ac:dyDescent="0.35">
      <c r="A325" s="4">
        <v>20</v>
      </c>
    </row>
    <row r="326" spans="1:1" x14ac:dyDescent="0.35">
      <c r="A326" s="4">
        <v>62</v>
      </c>
    </row>
    <row r="327" spans="1:1" x14ac:dyDescent="0.35">
      <c r="A327" s="4">
        <v>118</v>
      </c>
    </row>
    <row r="328" spans="1:1" x14ac:dyDescent="0.35">
      <c r="A328" s="4">
        <v>68</v>
      </c>
    </row>
    <row r="329" spans="1:1" x14ac:dyDescent="0.35">
      <c r="A329" s="4">
        <v>111</v>
      </c>
    </row>
    <row r="330" spans="1:1" x14ac:dyDescent="0.35">
      <c r="A330" s="4">
        <v>25</v>
      </c>
    </row>
    <row r="331" spans="1:1" x14ac:dyDescent="0.35">
      <c r="A331" s="4">
        <v>107</v>
      </c>
    </row>
    <row r="332" spans="1:1" x14ac:dyDescent="0.35">
      <c r="A332" s="4">
        <v>42</v>
      </c>
    </row>
    <row r="333" spans="1:1" x14ac:dyDescent="0.35">
      <c r="A333" s="4">
        <v>13</v>
      </c>
    </row>
    <row r="334" spans="1:1" x14ac:dyDescent="0.35">
      <c r="A334" s="4">
        <v>107</v>
      </c>
    </row>
    <row r="335" spans="1:1" x14ac:dyDescent="0.35">
      <c r="A335" s="4">
        <v>31</v>
      </c>
    </row>
    <row r="336" spans="1:1" x14ac:dyDescent="0.35">
      <c r="A336" s="4">
        <v>31</v>
      </c>
    </row>
    <row r="337" spans="1:1" x14ac:dyDescent="0.35">
      <c r="A337" s="4">
        <v>27</v>
      </c>
    </row>
    <row r="338" spans="1:1" x14ac:dyDescent="0.35">
      <c r="A338" s="4">
        <v>36</v>
      </c>
    </row>
    <row r="339" spans="1:1" x14ac:dyDescent="0.35">
      <c r="A339" s="4">
        <v>61</v>
      </c>
    </row>
    <row r="340" spans="1:1" x14ac:dyDescent="0.35">
      <c r="A340" s="4">
        <v>102</v>
      </c>
    </row>
    <row r="341" spans="1:1" x14ac:dyDescent="0.35">
      <c r="A341" s="4">
        <v>79</v>
      </c>
    </row>
    <row r="342" spans="1:1" x14ac:dyDescent="0.35">
      <c r="A342" s="4">
        <v>61</v>
      </c>
    </row>
    <row r="343" spans="1:1" x14ac:dyDescent="0.35">
      <c r="A343" s="4">
        <v>15</v>
      </c>
    </row>
    <row r="344" spans="1:1" x14ac:dyDescent="0.35">
      <c r="A344" s="4">
        <v>108</v>
      </c>
    </row>
    <row r="345" spans="1:1" x14ac:dyDescent="0.35">
      <c r="A345" s="4">
        <v>33</v>
      </c>
    </row>
    <row r="346" spans="1:1" x14ac:dyDescent="0.35">
      <c r="A346" s="4">
        <v>102</v>
      </c>
    </row>
    <row r="347" spans="1:1" x14ac:dyDescent="0.35">
      <c r="A347" s="4">
        <v>27</v>
      </c>
    </row>
    <row r="348" spans="1:1" x14ac:dyDescent="0.35">
      <c r="A348" s="4">
        <v>97</v>
      </c>
    </row>
    <row r="349" spans="1:1" x14ac:dyDescent="0.35">
      <c r="A349" s="4">
        <v>65</v>
      </c>
    </row>
    <row r="350" spans="1:1" x14ac:dyDescent="0.35">
      <c r="A350" s="4">
        <v>120</v>
      </c>
    </row>
    <row r="351" spans="1:1" x14ac:dyDescent="0.35">
      <c r="A351" s="4">
        <v>23</v>
      </c>
    </row>
    <row r="352" spans="1:1" x14ac:dyDescent="0.35">
      <c r="A352" s="4">
        <v>78</v>
      </c>
    </row>
    <row r="353" spans="1:1" x14ac:dyDescent="0.35">
      <c r="A353" s="4">
        <v>16</v>
      </c>
    </row>
    <row r="354" spans="1:1" x14ac:dyDescent="0.35">
      <c r="A354" s="4">
        <v>51</v>
      </c>
    </row>
    <row r="355" spans="1:1" x14ac:dyDescent="0.35">
      <c r="A355" s="4">
        <v>49</v>
      </c>
    </row>
    <row r="356" spans="1:1" x14ac:dyDescent="0.35">
      <c r="A356" s="4">
        <v>28</v>
      </c>
    </row>
    <row r="357" spans="1:1" x14ac:dyDescent="0.35">
      <c r="A357" s="4">
        <v>71</v>
      </c>
    </row>
    <row r="358" spans="1:1" x14ac:dyDescent="0.35">
      <c r="A358" s="4">
        <v>25</v>
      </c>
    </row>
    <row r="359" spans="1:1" x14ac:dyDescent="0.35">
      <c r="A359" s="4">
        <v>21</v>
      </c>
    </row>
    <row r="360" spans="1:1" x14ac:dyDescent="0.35">
      <c r="A360" s="4">
        <v>64</v>
      </c>
    </row>
    <row r="361" spans="1:1" x14ac:dyDescent="0.35">
      <c r="A361" s="4">
        <v>102</v>
      </c>
    </row>
    <row r="362" spans="1:1" x14ac:dyDescent="0.35">
      <c r="A362" s="4">
        <v>67</v>
      </c>
    </row>
    <row r="363" spans="1:1" x14ac:dyDescent="0.35">
      <c r="A363" s="4">
        <v>65</v>
      </c>
    </row>
    <row r="364" spans="1:1" x14ac:dyDescent="0.35">
      <c r="A364" s="4">
        <v>97</v>
      </c>
    </row>
    <row r="365" spans="1:1" x14ac:dyDescent="0.35">
      <c r="A365" s="4">
        <v>70</v>
      </c>
    </row>
    <row r="366" spans="1:1" x14ac:dyDescent="0.35">
      <c r="A366" s="4">
        <v>16</v>
      </c>
    </row>
    <row r="367" spans="1:1" x14ac:dyDescent="0.35">
      <c r="A367" s="4">
        <v>62</v>
      </c>
    </row>
    <row r="368" spans="1:1" x14ac:dyDescent="0.35">
      <c r="A368" s="4">
        <v>19</v>
      </c>
    </row>
    <row r="369" spans="1:1" x14ac:dyDescent="0.35">
      <c r="A369" s="4">
        <v>38</v>
      </c>
    </row>
    <row r="370" spans="1:1" x14ac:dyDescent="0.35">
      <c r="A370" s="4">
        <v>111</v>
      </c>
    </row>
    <row r="371" spans="1:1" x14ac:dyDescent="0.35">
      <c r="A371" s="4">
        <v>41</v>
      </c>
    </row>
    <row r="372" spans="1:1" x14ac:dyDescent="0.35">
      <c r="A372" s="4">
        <v>116</v>
      </c>
    </row>
    <row r="373" spans="1:1" x14ac:dyDescent="0.35">
      <c r="A373" s="4">
        <v>44</v>
      </c>
    </row>
    <row r="374" spans="1:1" x14ac:dyDescent="0.35">
      <c r="A374" s="4">
        <v>102</v>
      </c>
    </row>
    <row r="375" spans="1:1" x14ac:dyDescent="0.35">
      <c r="A375" s="4">
        <v>44</v>
      </c>
    </row>
    <row r="376" spans="1:1" x14ac:dyDescent="0.35">
      <c r="A376" s="4">
        <v>50</v>
      </c>
    </row>
    <row r="377" spans="1:1" x14ac:dyDescent="0.35">
      <c r="A377" s="4">
        <v>60</v>
      </c>
    </row>
    <row r="378" spans="1:1" x14ac:dyDescent="0.35">
      <c r="A378" s="4">
        <v>89</v>
      </c>
    </row>
    <row r="379" spans="1:1" x14ac:dyDescent="0.35">
      <c r="A379" s="4">
        <v>16</v>
      </c>
    </row>
    <row r="380" spans="1:1" x14ac:dyDescent="0.35">
      <c r="A380" s="4">
        <v>78</v>
      </c>
    </row>
    <row r="381" spans="1:1" x14ac:dyDescent="0.35">
      <c r="A381" s="4">
        <v>87</v>
      </c>
    </row>
    <row r="382" spans="1:1" x14ac:dyDescent="0.35">
      <c r="A382" s="4">
        <v>46</v>
      </c>
    </row>
    <row r="383" spans="1:1" x14ac:dyDescent="0.35">
      <c r="A383" s="4">
        <v>110</v>
      </c>
    </row>
    <row r="384" spans="1:1" x14ac:dyDescent="0.35">
      <c r="A384" s="4">
        <v>39</v>
      </c>
    </row>
    <row r="385" spans="1:1" x14ac:dyDescent="0.35">
      <c r="A385" s="4">
        <v>40</v>
      </c>
    </row>
    <row r="386" spans="1:1" x14ac:dyDescent="0.35">
      <c r="A386" s="4">
        <v>60</v>
      </c>
    </row>
    <row r="387" spans="1:1" x14ac:dyDescent="0.35">
      <c r="A387" s="4">
        <v>84</v>
      </c>
    </row>
    <row r="388" spans="1:1" x14ac:dyDescent="0.35">
      <c r="A388" s="4">
        <v>85</v>
      </c>
    </row>
    <row r="389" spans="1:1" x14ac:dyDescent="0.35">
      <c r="A389" s="4">
        <v>75</v>
      </c>
    </row>
    <row r="390" spans="1:1" x14ac:dyDescent="0.35">
      <c r="A390" s="4">
        <v>89</v>
      </c>
    </row>
    <row r="391" spans="1:1" x14ac:dyDescent="0.35">
      <c r="A391" s="4">
        <v>90</v>
      </c>
    </row>
    <row r="392" spans="1:1" x14ac:dyDescent="0.35">
      <c r="A392" s="4">
        <v>21</v>
      </c>
    </row>
    <row r="393" spans="1:1" x14ac:dyDescent="0.35">
      <c r="A393" s="4">
        <v>52</v>
      </c>
    </row>
    <row r="394" spans="1:1" x14ac:dyDescent="0.35">
      <c r="A394" s="4">
        <v>91</v>
      </c>
    </row>
    <row r="395" spans="1:1" x14ac:dyDescent="0.35">
      <c r="A395" s="4">
        <v>72</v>
      </c>
    </row>
    <row r="396" spans="1:1" x14ac:dyDescent="0.35">
      <c r="A396" s="4">
        <v>17</v>
      </c>
    </row>
    <row r="397" spans="1:1" x14ac:dyDescent="0.35">
      <c r="A397" s="4">
        <v>56</v>
      </c>
    </row>
    <row r="398" spans="1:1" x14ac:dyDescent="0.35">
      <c r="A398" s="4">
        <v>44</v>
      </c>
    </row>
    <row r="399" spans="1:1" x14ac:dyDescent="0.35">
      <c r="A399" s="4">
        <v>35</v>
      </c>
    </row>
    <row r="400" spans="1:1" x14ac:dyDescent="0.35">
      <c r="A400" s="4">
        <v>16</v>
      </c>
    </row>
    <row r="401" spans="1:1" x14ac:dyDescent="0.35">
      <c r="A401" s="4">
        <v>78</v>
      </c>
    </row>
    <row r="402" spans="1:1" x14ac:dyDescent="0.35">
      <c r="A402" s="4">
        <v>98</v>
      </c>
    </row>
    <row r="403" spans="1:1" x14ac:dyDescent="0.35">
      <c r="A403" s="4">
        <v>18</v>
      </c>
    </row>
    <row r="404" spans="1:1" x14ac:dyDescent="0.35">
      <c r="A404" s="4">
        <v>111</v>
      </c>
    </row>
    <row r="405" spans="1:1" x14ac:dyDescent="0.35">
      <c r="A405" s="4">
        <v>49</v>
      </c>
    </row>
    <row r="406" spans="1:1" x14ac:dyDescent="0.35">
      <c r="A406" s="4">
        <v>104</v>
      </c>
    </row>
    <row r="407" spans="1:1" x14ac:dyDescent="0.35">
      <c r="A407" s="4">
        <v>17</v>
      </c>
    </row>
    <row r="408" spans="1:1" x14ac:dyDescent="0.35">
      <c r="A408" s="4">
        <v>70</v>
      </c>
    </row>
    <row r="409" spans="1:1" x14ac:dyDescent="0.35">
      <c r="A409" s="4">
        <v>54</v>
      </c>
    </row>
    <row r="410" spans="1:1" x14ac:dyDescent="0.35">
      <c r="A410" s="4">
        <v>99</v>
      </c>
    </row>
    <row r="411" spans="1:1" x14ac:dyDescent="0.35">
      <c r="A411" s="4">
        <v>85</v>
      </c>
    </row>
    <row r="412" spans="1:1" x14ac:dyDescent="0.35">
      <c r="A412" s="4">
        <v>23</v>
      </c>
    </row>
    <row r="413" spans="1:1" x14ac:dyDescent="0.35">
      <c r="A413" s="4">
        <v>56</v>
      </c>
    </row>
    <row r="414" spans="1:1" x14ac:dyDescent="0.35">
      <c r="A414" s="4">
        <v>74</v>
      </c>
    </row>
    <row r="415" spans="1:1" x14ac:dyDescent="0.35">
      <c r="A415" s="4">
        <v>120</v>
      </c>
    </row>
    <row r="416" spans="1:1" x14ac:dyDescent="0.35">
      <c r="A416" s="4">
        <v>104</v>
      </c>
    </row>
    <row r="417" spans="1:1" x14ac:dyDescent="0.35">
      <c r="A417" s="4">
        <v>109</v>
      </c>
    </row>
    <row r="418" spans="1:1" x14ac:dyDescent="0.35">
      <c r="A418" s="4">
        <v>50</v>
      </c>
    </row>
    <row r="419" spans="1:1" x14ac:dyDescent="0.35">
      <c r="A419" s="4">
        <v>73</v>
      </c>
    </row>
    <row r="420" spans="1:1" x14ac:dyDescent="0.35">
      <c r="A420" s="4">
        <v>104</v>
      </c>
    </row>
    <row r="421" spans="1:1" x14ac:dyDescent="0.35">
      <c r="A421" s="4">
        <v>22</v>
      </c>
    </row>
    <row r="422" spans="1:1" x14ac:dyDescent="0.35">
      <c r="A422" s="4">
        <v>52</v>
      </c>
    </row>
    <row r="423" spans="1:1" x14ac:dyDescent="0.35">
      <c r="A423" s="4">
        <v>88</v>
      </c>
    </row>
    <row r="424" spans="1:1" x14ac:dyDescent="0.35">
      <c r="A424" s="4">
        <v>109</v>
      </c>
    </row>
    <row r="425" spans="1:1" x14ac:dyDescent="0.35">
      <c r="A425" s="4">
        <v>45</v>
      </c>
    </row>
    <row r="426" spans="1:1" x14ac:dyDescent="0.35">
      <c r="A426" s="4">
        <v>56</v>
      </c>
    </row>
    <row r="427" spans="1:1" x14ac:dyDescent="0.35">
      <c r="A427" s="4">
        <v>110</v>
      </c>
    </row>
    <row r="428" spans="1:1" x14ac:dyDescent="0.35">
      <c r="A428" s="4">
        <v>113</v>
      </c>
    </row>
    <row r="429" spans="1:1" x14ac:dyDescent="0.35">
      <c r="A429" s="4">
        <v>74</v>
      </c>
    </row>
    <row r="430" spans="1:1" x14ac:dyDescent="0.35">
      <c r="A430" s="4">
        <v>27</v>
      </c>
    </row>
    <row r="431" spans="1:1" x14ac:dyDescent="0.35">
      <c r="A431" s="4">
        <v>48</v>
      </c>
    </row>
    <row r="432" spans="1:1" x14ac:dyDescent="0.35">
      <c r="A432" s="4">
        <v>44</v>
      </c>
    </row>
    <row r="433" spans="1:1" x14ac:dyDescent="0.35">
      <c r="A433" s="4">
        <v>83</v>
      </c>
    </row>
    <row r="434" spans="1:1" x14ac:dyDescent="0.35">
      <c r="A434" s="4">
        <v>60</v>
      </c>
    </row>
    <row r="435" spans="1:1" x14ac:dyDescent="0.35">
      <c r="A435" s="4">
        <v>40</v>
      </c>
    </row>
    <row r="436" spans="1:1" x14ac:dyDescent="0.35">
      <c r="A436" s="4">
        <v>23</v>
      </c>
    </row>
    <row r="437" spans="1:1" x14ac:dyDescent="0.35">
      <c r="A437" s="4">
        <v>120</v>
      </c>
    </row>
    <row r="438" spans="1:1" x14ac:dyDescent="0.35">
      <c r="A438" s="4">
        <v>58</v>
      </c>
    </row>
    <row r="439" spans="1:1" x14ac:dyDescent="0.35">
      <c r="A439" s="4">
        <v>64</v>
      </c>
    </row>
    <row r="440" spans="1:1" x14ac:dyDescent="0.35">
      <c r="A440" s="4">
        <v>88</v>
      </c>
    </row>
    <row r="441" spans="1:1" x14ac:dyDescent="0.35">
      <c r="A441" s="4">
        <v>110</v>
      </c>
    </row>
    <row r="442" spans="1:1" x14ac:dyDescent="0.35">
      <c r="A442" s="4">
        <v>33</v>
      </c>
    </row>
    <row r="443" spans="1:1" x14ac:dyDescent="0.35">
      <c r="A443" s="4">
        <v>15</v>
      </c>
    </row>
    <row r="444" spans="1:1" x14ac:dyDescent="0.35">
      <c r="A444" s="4">
        <v>48</v>
      </c>
    </row>
    <row r="445" spans="1:1" x14ac:dyDescent="0.35">
      <c r="A445" s="4">
        <v>27</v>
      </c>
    </row>
    <row r="446" spans="1:1" x14ac:dyDescent="0.35">
      <c r="A446" s="4">
        <v>89</v>
      </c>
    </row>
    <row r="447" spans="1:1" x14ac:dyDescent="0.35">
      <c r="A447" s="4">
        <v>81</v>
      </c>
    </row>
    <row r="448" spans="1:1" x14ac:dyDescent="0.35">
      <c r="A448" s="4">
        <v>69</v>
      </c>
    </row>
    <row r="449" spans="1:1" x14ac:dyDescent="0.35">
      <c r="A449" s="4">
        <v>117</v>
      </c>
    </row>
    <row r="450" spans="1:1" x14ac:dyDescent="0.35">
      <c r="A450" s="4">
        <v>29</v>
      </c>
    </row>
    <row r="451" spans="1:1" x14ac:dyDescent="0.35">
      <c r="A451" s="4">
        <v>98</v>
      </c>
    </row>
    <row r="452" spans="1:1" x14ac:dyDescent="0.35">
      <c r="A452" s="4">
        <v>65</v>
      </c>
    </row>
    <row r="453" spans="1:1" x14ac:dyDescent="0.35">
      <c r="A453" s="4">
        <v>76</v>
      </c>
    </row>
    <row r="454" spans="1:1" x14ac:dyDescent="0.35">
      <c r="A454" s="4">
        <v>86</v>
      </c>
    </row>
    <row r="455" spans="1:1" x14ac:dyDescent="0.35">
      <c r="A455" s="4">
        <v>16</v>
      </c>
    </row>
    <row r="456" spans="1:1" x14ac:dyDescent="0.35">
      <c r="A456" s="4">
        <v>38</v>
      </c>
    </row>
    <row r="457" spans="1:1" x14ac:dyDescent="0.35">
      <c r="A457" s="4">
        <v>113</v>
      </c>
    </row>
    <row r="458" spans="1:1" x14ac:dyDescent="0.35">
      <c r="A458" s="4">
        <v>12</v>
      </c>
    </row>
    <row r="459" spans="1:1" x14ac:dyDescent="0.35">
      <c r="A459" s="4">
        <v>105</v>
      </c>
    </row>
    <row r="460" spans="1:1" x14ac:dyDescent="0.35">
      <c r="A460" s="4">
        <v>46</v>
      </c>
    </row>
    <row r="461" spans="1:1" x14ac:dyDescent="0.35">
      <c r="A461" s="4">
        <v>26</v>
      </c>
    </row>
    <row r="462" spans="1:1" x14ac:dyDescent="0.35">
      <c r="A462" s="4">
        <v>18</v>
      </c>
    </row>
    <row r="463" spans="1:1" x14ac:dyDescent="0.35">
      <c r="A463" s="4">
        <v>37</v>
      </c>
    </row>
    <row r="464" spans="1:1" x14ac:dyDescent="0.35">
      <c r="A464" s="4">
        <v>15</v>
      </c>
    </row>
    <row r="465" spans="1:1" x14ac:dyDescent="0.35">
      <c r="A465" s="4">
        <v>49</v>
      </c>
    </row>
    <row r="466" spans="1:1" x14ac:dyDescent="0.35">
      <c r="A466" s="4">
        <v>32</v>
      </c>
    </row>
    <row r="467" spans="1:1" x14ac:dyDescent="0.35">
      <c r="A467" s="4">
        <v>41</v>
      </c>
    </row>
    <row r="468" spans="1:1" x14ac:dyDescent="0.35">
      <c r="A468" s="4">
        <v>33</v>
      </c>
    </row>
    <row r="469" spans="1:1" x14ac:dyDescent="0.35">
      <c r="A469" s="4">
        <v>107</v>
      </c>
    </row>
    <row r="470" spans="1:1" x14ac:dyDescent="0.35">
      <c r="A470" s="4">
        <v>49</v>
      </c>
    </row>
    <row r="471" spans="1:1" x14ac:dyDescent="0.35">
      <c r="A471" s="4">
        <v>94</v>
      </c>
    </row>
    <row r="472" spans="1:1" x14ac:dyDescent="0.35">
      <c r="A472" s="4">
        <v>39</v>
      </c>
    </row>
    <row r="473" spans="1:1" x14ac:dyDescent="0.35">
      <c r="A473" s="4">
        <v>50</v>
      </c>
    </row>
    <row r="474" spans="1:1" x14ac:dyDescent="0.35">
      <c r="A474" s="4">
        <v>20</v>
      </c>
    </row>
    <row r="475" spans="1:1" x14ac:dyDescent="0.35">
      <c r="A475" s="4">
        <v>85</v>
      </c>
    </row>
    <row r="476" spans="1:1" x14ac:dyDescent="0.35">
      <c r="A476" s="4">
        <v>26</v>
      </c>
    </row>
    <row r="477" spans="1:1" x14ac:dyDescent="0.35">
      <c r="A477" s="4">
        <v>110</v>
      </c>
    </row>
    <row r="478" spans="1:1" x14ac:dyDescent="0.35">
      <c r="A478" s="4">
        <v>78</v>
      </c>
    </row>
    <row r="479" spans="1:1" x14ac:dyDescent="0.35">
      <c r="A479" s="4">
        <v>33</v>
      </c>
    </row>
    <row r="480" spans="1:1" x14ac:dyDescent="0.35">
      <c r="A480" s="4">
        <v>49</v>
      </c>
    </row>
    <row r="481" spans="1:1" x14ac:dyDescent="0.35">
      <c r="A481" s="4">
        <v>60</v>
      </c>
    </row>
    <row r="482" spans="1:1" x14ac:dyDescent="0.35">
      <c r="A482" s="4">
        <v>41</v>
      </c>
    </row>
    <row r="483" spans="1:1" x14ac:dyDescent="0.35">
      <c r="A483" s="4">
        <v>12</v>
      </c>
    </row>
    <row r="484" spans="1:1" x14ac:dyDescent="0.35">
      <c r="A484" s="4">
        <v>77</v>
      </c>
    </row>
    <row r="485" spans="1:1" x14ac:dyDescent="0.35">
      <c r="A485" s="4">
        <v>37</v>
      </c>
    </row>
    <row r="486" spans="1:1" x14ac:dyDescent="0.35">
      <c r="A486" s="4">
        <v>114</v>
      </c>
    </row>
    <row r="487" spans="1:1" x14ac:dyDescent="0.35">
      <c r="A487" s="4">
        <v>48</v>
      </c>
    </row>
    <row r="488" spans="1:1" x14ac:dyDescent="0.35">
      <c r="A488" s="4">
        <v>17</v>
      </c>
    </row>
    <row r="489" spans="1:1" x14ac:dyDescent="0.35">
      <c r="A489" s="4">
        <v>47</v>
      </c>
    </row>
    <row r="490" spans="1:1" x14ac:dyDescent="0.35">
      <c r="A490" s="4">
        <v>56</v>
      </c>
    </row>
    <row r="491" spans="1:1" x14ac:dyDescent="0.35">
      <c r="A491" s="4">
        <v>45</v>
      </c>
    </row>
    <row r="492" spans="1:1" x14ac:dyDescent="0.35">
      <c r="A492" s="4">
        <v>17</v>
      </c>
    </row>
    <row r="493" spans="1:1" x14ac:dyDescent="0.35">
      <c r="A493" s="4">
        <v>20</v>
      </c>
    </row>
    <row r="494" spans="1:1" x14ac:dyDescent="0.35">
      <c r="A494" s="4">
        <v>95</v>
      </c>
    </row>
    <row r="495" spans="1:1" x14ac:dyDescent="0.35">
      <c r="A495" s="4">
        <v>31</v>
      </c>
    </row>
    <row r="496" spans="1:1" x14ac:dyDescent="0.35">
      <c r="A496" s="4">
        <v>113</v>
      </c>
    </row>
    <row r="497" spans="1:1" x14ac:dyDescent="0.35">
      <c r="A497" s="4">
        <v>118</v>
      </c>
    </row>
    <row r="498" spans="1:1" x14ac:dyDescent="0.35">
      <c r="A498" s="4">
        <v>54</v>
      </c>
    </row>
    <row r="499" spans="1:1" x14ac:dyDescent="0.35">
      <c r="A499" s="4">
        <v>111</v>
      </c>
    </row>
    <row r="500" spans="1:1" x14ac:dyDescent="0.35">
      <c r="A500" s="4">
        <v>74</v>
      </c>
    </row>
    <row r="501" spans="1:1" x14ac:dyDescent="0.35">
      <c r="A501" s="4">
        <v>60</v>
      </c>
    </row>
    <row r="502" spans="1:1" x14ac:dyDescent="0.35">
      <c r="A502" s="4">
        <v>27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0000"/>
  </sheetPr>
  <dimension ref="A1:H502"/>
  <sheetViews>
    <sheetView zoomScale="92" zoomScaleNormal="92" workbookViewId="0">
      <selection activeCell="C8" sqref="C8"/>
    </sheetView>
  </sheetViews>
  <sheetFormatPr defaultRowHeight="14.5" x14ac:dyDescent="0.35"/>
  <cols>
    <col min="3" max="3" width="11.1796875" bestFit="1" customWidth="1"/>
  </cols>
  <sheetData>
    <row r="1" spans="1:8" ht="43.5" x14ac:dyDescent="0.35">
      <c r="A1" s="1" t="s">
        <v>35</v>
      </c>
      <c r="B1" s="2"/>
      <c r="C1" s="2"/>
      <c r="D1" s="2"/>
      <c r="E1" s="2"/>
      <c r="F1" s="2"/>
      <c r="G1" s="2"/>
      <c r="H1" s="3"/>
    </row>
    <row r="3" spans="1:8" x14ac:dyDescent="0.35">
      <c r="A3" s="70" t="s">
        <v>3</v>
      </c>
      <c r="C3" s="13" t="s">
        <v>4</v>
      </c>
    </row>
    <row r="4" spans="1:8" x14ac:dyDescent="0.35">
      <c r="A4" s="7">
        <v>25</v>
      </c>
      <c r="C4" s="10"/>
    </row>
    <row r="5" spans="1:8" x14ac:dyDescent="0.35">
      <c r="A5" s="7">
        <v>102</v>
      </c>
    </row>
    <row r="6" spans="1:8" x14ac:dyDescent="0.35">
      <c r="A6" s="7">
        <v>68</v>
      </c>
    </row>
    <row r="7" spans="1:8" x14ac:dyDescent="0.35">
      <c r="A7" s="7">
        <v>59</v>
      </c>
    </row>
    <row r="8" spans="1:8" x14ac:dyDescent="0.35">
      <c r="A8" s="7">
        <v>62</v>
      </c>
    </row>
    <row r="9" spans="1:8" x14ac:dyDescent="0.35">
      <c r="A9" s="7">
        <v>104</v>
      </c>
    </row>
    <row r="10" spans="1:8" x14ac:dyDescent="0.35">
      <c r="A10" s="7">
        <v>17</v>
      </c>
    </row>
    <row r="11" spans="1:8" x14ac:dyDescent="0.35">
      <c r="A11" s="7">
        <v>73</v>
      </c>
    </row>
    <row r="12" spans="1:8" x14ac:dyDescent="0.35">
      <c r="A12" s="7">
        <v>88</v>
      </c>
    </row>
    <row r="13" spans="1:8" x14ac:dyDescent="0.35">
      <c r="A13" s="7">
        <v>19</v>
      </c>
    </row>
    <row r="14" spans="1:8" x14ac:dyDescent="0.35">
      <c r="A14" s="7">
        <v>100</v>
      </c>
    </row>
    <row r="15" spans="1:8" x14ac:dyDescent="0.35">
      <c r="A15" s="7">
        <v>17</v>
      </c>
    </row>
    <row r="16" spans="1:8" x14ac:dyDescent="0.35">
      <c r="A16" s="7">
        <v>74</v>
      </c>
    </row>
    <row r="17" spans="1:1" x14ac:dyDescent="0.35">
      <c r="A17" s="7">
        <v>39</v>
      </c>
    </row>
    <row r="18" spans="1:1" x14ac:dyDescent="0.35">
      <c r="A18" s="7">
        <v>119</v>
      </c>
    </row>
    <row r="19" spans="1:1" x14ac:dyDescent="0.35">
      <c r="A19" s="7">
        <v>32</v>
      </c>
    </row>
    <row r="20" spans="1:1" x14ac:dyDescent="0.35">
      <c r="A20" s="7">
        <v>88</v>
      </c>
    </row>
    <row r="21" spans="1:1" x14ac:dyDescent="0.35">
      <c r="A21" s="7">
        <v>60</v>
      </c>
    </row>
    <row r="22" spans="1:1" x14ac:dyDescent="0.35">
      <c r="A22" s="7">
        <v>59</v>
      </c>
    </row>
    <row r="23" spans="1:1" x14ac:dyDescent="0.35">
      <c r="A23" s="7">
        <v>53</v>
      </c>
    </row>
    <row r="24" spans="1:1" x14ac:dyDescent="0.35">
      <c r="A24" s="7">
        <v>62</v>
      </c>
    </row>
    <row r="25" spans="1:1" x14ac:dyDescent="0.35">
      <c r="A25" s="7">
        <v>118</v>
      </c>
    </row>
    <row r="26" spans="1:1" x14ac:dyDescent="0.35">
      <c r="A26" s="7">
        <v>70</v>
      </c>
    </row>
    <row r="27" spans="1:1" x14ac:dyDescent="0.35">
      <c r="A27" s="7">
        <v>33</v>
      </c>
    </row>
    <row r="28" spans="1:1" x14ac:dyDescent="0.35">
      <c r="A28" s="7">
        <v>96</v>
      </c>
    </row>
    <row r="29" spans="1:1" x14ac:dyDescent="0.35">
      <c r="A29" s="7">
        <v>18</v>
      </c>
    </row>
    <row r="30" spans="1:1" x14ac:dyDescent="0.35">
      <c r="A30" s="7">
        <v>54</v>
      </c>
    </row>
    <row r="31" spans="1:1" x14ac:dyDescent="0.35">
      <c r="A31" s="7">
        <v>29</v>
      </c>
    </row>
    <row r="32" spans="1:1" x14ac:dyDescent="0.35">
      <c r="A32" s="7">
        <v>100</v>
      </c>
    </row>
    <row r="33" spans="1:1" x14ac:dyDescent="0.35">
      <c r="A33" s="7">
        <v>54</v>
      </c>
    </row>
    <row r="34" spans="1:1" x14ac:dyDescent="0.35">
      <c r="A34" s="7">
        <v>120</v>
      </c>
    </row>
    <row r="35" spans="1:1" x14ac:dyDescent="0.35">
      <c r="A35" s="7">
        <v>44</v>
      </c>
    </row>
    <row r="36" spans="1:1" x14ac:dyDescent="0.35">
      <c r="A36" s="7">
        <v>34</v>
      </c>
    </row>
    <row r="37" spans="1:1" x14ac:dyDescent="0.35">
      <c r="A37" s="7">
        <v>33</v>
      </c>
    </row>
    <row r="38" spans="1:1" x14ac:dyDescent="0.35">
      <c r="A38" s="7">
        <v>50</v>
      </c>
    </row>
    <row r="39" spans="1:1" x14ac:dyDescent="0.35">
      <c r="A39" s="7">
        <v>97</v>
      </c>
    </row>
    <row r="40" spans="1:1" x14ac:dyDescent="0.35">
      <c r="A40" s="7">
        <v>69</v>
      </c>
    </row>
    <row r="41" spans="1:1" x14ac:dyDescent="0.35">
      <c r="A41" s="7">
        <v>104</v>
      </c>
    </row>
    <row r="42" spans="1:1" x14ac:dyDescent="0.35">
      <c r="A42" s="7">
        <v>62</v>
      </c>
    </row>
    <row r="43" spans="1:1" x14ac:dyDescent="0.35">
      <c r="A43" s="7">
        <v>71</v>
      </c>
    </row>
    <row r="44" spans="1:1" x14ac:dyDescent="0.35">
      <c r="A44" s="7">
        <v>23</v>
      </c>
    </row>
    <row r="45" spans="1:1" x14ac:dyDescent="0.35">
      <c r="A45" s="7">
        <v>47</v>
      </c>
    </row>
    <row r="46" spans="1:1" x14ac:dyDescent="0.35">
      <c r="A46" s="7">
        <v>55</v>
      </c>
    </row>
    <row r="47" spans="1:1" x14ac:dyDescent="0.35">
      <c r="A47" s="7">
        <v>49</v>
      </c>
    </row>
    <row r="48" spans="1:1" x14ac:dyDescent="0.35">
      <c r="A48" s="7">
        <v>47</v>
      </c>
    </row>
    <row r="49" spans="1:1" x14ac:dyDescent="0.35">
      <c r="A49" s="7">
        <v>80</v>
      </c>
    </row>
    <row r="50" spans="1:1" x14ac:dyDescent="0.35">
      <c r="A50" s="7">
        <v>49</v>
      </c>
    </row>
    <row r="51" spans="1:1" x14ac:dyDescent="0.35">
      <c r="A51" s="7">
        <v>109</v>
      </c>
    </row>
    <row r="52" spans="1:1" x14ac:dyDescent="0.35">
      <c r="A52" s="7">
        <v>28</v>
      </c>
    </row>
    <row r="53" spans="1:1" x14ac:dyDescent="0.35">
      <c r="A53" s="7">
        <v>35</v>
      </c>
    </row>
    <row r="54" spans="1:1" x14ac:dyDescent="0.35">
      <c r="A54" s="7">
        <v>89</v>
      </c>
    </row>
    <row r="55" spans="1:1" x14ac:dyDescent="0.35">
      <c r="A55" s="7">
        <v>52</v>
      </c>
    </row>
    <row r="56" spans="1:1" x14ac:dyDescent="0.35">
      <c r="A56" s="7">
        <v>31</v>
      </c>
    </row>
    <row r="57" spans="1:1" x14ac:dyDescent="0.35">
      <c r="A57" s="7">
        <v>57</v>
      </c>
    </row>
    <row r="58" spans="1:1" x14ac:dyDescent="0.35">
      <c r="A58" s="7">
        <v>109</v>
      </c>
    </row>
    <row r="59" spans="1:1" x14ac:dyDescent="0.35">
      <c r="A59" s="7">
        <v>85</v>
      </c>
    </row>
    <row r="60" spans="1:1" x14ac:dyDescent="0.35">
      <c r="A60" s="7">
        <v>73</v>
      </c>
    </row>
    <row r="61" spans="1:1" x14ac:dyDescent="0.35">
      <c r="A61" s="7">
        <v>89</v>
      </c>
    </row>
    <row r="62" spans="1:1" x14ac:dyDescent="0.35">
      <c r="A62" s="7">
        <v>30</v>
      </c>
    </row>
    <row r="63" spans="1:1" x14ac:dyDescent="0.35">
      <c r="A63" s="7">
        <v>82</v>
      </c>
    </row>
    <row r="64" spans="1:1" x14ac:dyDescent="0.35">
      <c r="A64" s="7">
        <v>113</v>
      </c>
    </row>
    <row r="65" spans="1:1" x14ac:dyDescent="0.35">
      <c r="A65" s="7">
        <v>16</v>
      </c>
    </row>
    <row r="66" spans="1:1" x14ac:dyDescent="0.35">
      <c r="A66" s="7">
        <v>82</v>
      </c>
    </row>
    <row r="67" spans="1:1" x14ac:dyDescent="0.35">
      <c r="A67" s="7">
        <v>10</v>
      </c>
    </row>
    <row r="68" spans="1:1" x14ac:dyDescent="0.35">
      <c r="A68" s="7">
        <v>46</v>
      </c>
    </row>
    <row r="69" spans="1:1" x14ac:dyDescent="0.35">
      <c r="A69" s="7">
        <v>85</v>
      </c>
    </row>
    <row r="70" spans="1:1" x14ac:dyDescent="0.35">
      <c r="A70" s="7">
        <v>71</v>
      </c>
    </row>
    <row r="71" spans="1:1" x14ac:dyDescent="0.35">
      <c r="A71" s="7">
        <v>13</v>
      </c>
    </row>
    <row r="72" spans="1:1" x14ac:dyDescent="0.35">
      <c r="A72" s="7">
        <v>64</v>
      </c>
    </row>
    <row r="73" spans="1:1" x14ac:dyDescent="0.35">
      <c r="A73" s="7">
        <v>109</v>
      </c>
    </row>
    <row r="74" spans="1:1" x14ac:dyDescent="0.35">
      <c r="A74" s="7">
        <v>97</v>
      </c>
    </row>
    <row r="75" spans="1:1" x14ac:dyDescent="0.35">
      <c r="A75" s="7">
        <v>109</v>
      </c>
    </row>
    <row r="76" spans="1:1" x14ac:dyDescent="0.35">
      <c r="A76" s="7">
        <v>102</v>
      </c>
    </row>
    <row r="77" spans="1:1" x14ac:dyDescent="0.35">
      <c r="A77" s="7">
        <v>29</v>
      </c>
    </row>
    <row r="78" spans="1:1" x14ac:dyDescent="0.35">
      <c r="A78" s="7">
        <v>94</v>
      </c>
    </row>
    <row r="79" spans="1:1" x14ac:dyDescent="0.35">
      <c r="A79" s="7">
        <v>56</v>
      </c>
    </row>
    <row r="80" spans="1:1" x14ac:dyDescent="0.35">
      <c r="A80" s="7">
        <v>85</v>
      </c>
    </row>
    <row r="81" spans="1:1" x14ac:dyDescent="0.35">
      <c r="A81" s="7">
        <v>107</v>
      </c>
    </row>
    <row r="82" spans="1:1" x14ac:dyDescent="0.35">
      <c r="A82" s="7">
        <v>90</v>
      </c>
    </row>
    <row r="83" spans="1:1" x14ac:dyDescent="0.35">
      <c r="A83" s="7">
        <v>63</v>
      </c>
    </row>
    <row r="84" spans="1:1" x14ac:dyDescent="0.35">
      <c r="A84" s="7">
        <v>55</v>
      </c>
    </row>
    <row r="85" spans="1:1" x14ac:dyDescent="0.35">
      <c r="A85" s="7">
        <v>68</v>
      </c>
    </row>
    <row r="86" spans="1:1" x14ac:dyDescent="0.35">
      <c r="A86" s="7">
        <v>96</v>
      </c>
    </row>
    <row r="87" spans="1:1" x14ac:dyDescent="0.35">
      <c r="A87" s="7">
        <v>95</v>
      </c>
    </row>
    <row r="88" spans="1:1" x14ac:dyDescent="0.35">
      <c r="A88" s="7">
        <v>59</v>
      </c>
    </row>
    <row r="89" spans="1:1" x14ac:dyDescent="0.35">
      <c r="A89" s="7">
        <v>25</v>
      </c>
    </row>
    <row r="90" spans="1:1" x14ac:dyDescent="0.35">
      <c r="A90" s="7">
        <v>48</v>
      </c>
    </row>
    <row r="91" spans="1:1" x14ac:dyDescent="0.35">
      <c r="A91" s="7">
        <v>85</v>
      </c>
    </row>
    <row r="92" spans="1:1" x14ac:dyDescent="0.35">
      <c r="A92" s="7">
        <v>77</v>
      </c>
    </row>
    <row r="93" spans="1:1" x14ac:dyDescent="0.35">
      <c r="A93" s="7">
        <v>33</v>
      </c>
    </row>
    <row r="94" spans="1:1" x14ac:dyDescent="0.35">
      <c r="A94" s="7">
        <v>58</v>
      </c>
    </row>
    <row r="95" spans="1:1" x14ac:dyDescent="0.35">
      <c r="A95" s="7">
        <v>78</v>
      </c>
    </row>
    <row r="96" spans="1:1" x14ac:dyDescent="0.35">
      <c r="A96" s="7">
        <v>107</v>
      </c>
    </row>
    <row r="97" spans="1:1" x14ac:dyDescent="0.35">
      <c r="A97" s="7">
        <v>63</v>
      </c>
    </row>
    <row r="98" spans="1:1" x14ac:dyDescent="0.35">
      <c r="A98" s="7">
        <v>41</v>
      </c>
    </row>
    <row r="99" spans="1:1" x14ac:dyDescent="0.35">
      <c r="A99" s="7">
        <v>99</v>
      </c>
    </row>
    <row r="100" spans="1:1" x14ac:dyDescent="0.35">
      <c r="A100" s="7">
        <v>34</v>
      </c>
    </row>
    <row r="101" spans="1:1" x14ac:dyDescent="0.35">
      <c r="A101" s="7">
        <v>33</v>
      </c>
    </row>
    <row r="102" spans="1:1" x14ac:dyDescent="0.35">
      <c r="A102" s="7">
        <v>92</v>
      </c>
    </row>
    <row r="103" spans="1:1" x14ac:dyDescent="0.35">
      <c r="A103" s="7">
        <v>63</v>
      </c>
    </row>
    <row r="104" spans="1:1" x14ac:dyDescent="0.35">
      <c r="A104" s="7">
        <v>35</v>
      </c>
    </row>
    <row r="105" spans="1:1" x14ac:dyDescent="0.35">
      <c r="A105" s="7">
        <v>60</v>
      </c>
    </row>
    <row r="106" spans="1:1" x14ac:dyDescent="0.35">
      <c r="A106" s="7">
        <v>43</v>
      </c>
    </row>
    <row r="107" spans="1:1" x14ac:dyDescent="0.35">
      <c r="A107" s="7">
        <v>120</v>
      </c>
    </row>
    <row r="108" spans="1:1" x14ac:dyDescent="0.35">
      <c r="A108" s="7">
        <v>88</v>
      </c>
    </row>
    <row r="109" spans="1:1" x14ac:dyDescent="0.35">
      <c r="A109" s="7">
        <v>64</v>
      </c>
    </row>
    <row r="110" spans="1:1" x14ac:dyDescent="0.35">
      <c r="A110" s="7">
        <v>10</v>
      </c>
    </row>
    <row r="111" spans="1:1" x14ac:dyDescent="0.35">
      <c r="A111" s="7">
        <v>15</v>
      </c>
    </row>
    <row r="112" spans="1:1" x14ac:dyDescent="0.35">
      <c r="A112" s="7">
        <v>11</v>
      </c>
    </row>
    <row r="113" spans="1:1" x14ac:dyDescent="0.35">
      <c r="A113" s="7">
        <v>114</v>
      </c>
    </row>
    <row r="114" spans="1:1" x14ac:dyDescent="0.35">
      <c r="A114" s="7">
        <v>52</v>
      </c>
    </row>
    <row r="115" spans="1:1" x14ac:dyDescent="0.35">
      <c r="A115" s="7">
        <v>53</v>
      </c>
    </row>
    <row r="116" spans="1:1" x14ac:dyDescent="0.35">
      <c r="A116" s="7">
        <v>43</v>
      </c>
    </row>
    <row r="117" spans="1:1" x14ac:dyDescent="0.35">
      <c r="A117" s="7">
        <v>86</v>
      </c>
    </row>
    <row r="118" spans="1:1" x14ac:dyDescent="0.35">
      <c r="A118" s="7">
        <v>39</v>
      </c>
    </row>
    <row r="119" spans="1:1" x14ac:dyDescent="0.35">
      <c r="A119" s="7">
        <v>36</v>
      </c>
    </row>
    <row r="120" spans="1:1" x14ac:dyDescent="0.35">
      <c r="A120" s="7">
        <v>46</v>
      </c>
    </row>
    <row r="121" spans="1:1" x14ac:dyDescent="0.35">
      <c r="A121" s="7">
        <v>81</v>
      </c>
    </row>
    <row r="122" spans="1:1" x14ac:dyDescent="0.35">
      <c r="A122" s="7">
        <v>11</v>
      </c>
    </row>
    <row r="123" spans="1:1" x14ac:dyDescent="0.35">
      <c r="A123" s="7">
        <v>115</v>
      </c>
    </row>
    <row r="124" spans="1:1" x14ac:dyDescent="0.35">
      <c r="A124" s="7">
        <v>53</v>
      </c>
    </row>
    <row r="125" spans="1:1" x14ac:dyDescent="0.35">
      <c r="A125" s="7">
        <v>58</v>
      </c>
    </row>
    <row r="126" spans="1:1" x14ac:dyDescent="0.35">
      <c r="A126" s="7">
        <v>16</v>
      </c>
    </row>
    <row r="127" spans="1:1" x14ac:dyDescent="0.35">
      <c r="A127" s="7">
        <v>46</v>
      </c>
    </row>
    <row r="128" spans="1:1" x14ac:dyDescent="0.35">
      <c r="A128" s="7">
        <v>112</v>
      </c>
    </row>
    <row r="129" spans="1:1" x14ac:dyDescent="0.35">
      <c r="A129" s="7">
        <v>105</v>
      </c>
    </row>
    <row r="130" spans="1:1" x14ac:dyDescent="0.35">
      <c r="A130" s="7">
        <v>78</v>
      </c>
    </row>
    <row r="131" spans="1:1" x14ac:dyDescent="0.35">
      <c r="A131" s="7">
        <v>27</v>
      </c>
    </row>
    <row r="132" spans="1:1" x14ac:dyDescent="0.35">
      <c r="A132" s="7">
        <v>36</v>
      </c>
    </row>
    <row r="133" spans="1:1" x14ac:dyDescent="0.35">
      <c r="A133" s="7">
        <v>93</v>
      </c>
    </row>
    <row r="134" spans="1:1" x14ac:dyDescent="0.35">
      <c r="A134" s="7">
        <v>31</v>
      </c>
    </row>
    <row r="135" spans="1:1" x14ac:dyDescent="0.35">
      <c r="A135" s="7">
        <v>107</v>
      </c>
    </row>
    <row r="136" spans="1:1" x14ac:dyDescent="0.35">
      <c r="A136" s="7">
        <v>40</v>
      </c>
    </row>
    <row r="137" spans="1:1" x14ac:dyDescent="0.35">
      <c r="A137" s="7">
        <v>40</v>
      </c>
    </row>
    <row r="138" spans="1:1" x14ac:dyDescent="0.35">
      <c r="A138" s="7">
        <v>104</v>
      </c>
    </row>
    <row r="139" spans="1:1" x14ac:dyDescent="0.35">
      <c r="A139" s="7">
        <v>84</v>
      </c>
    </row>
    <row r="140" spans="1:1" x14ac:dyDescent="0.35">
      <c r="A140" s="7">
        <v>26</v>
      </c>
    </row>
    <row r="141" spans="1:1" x14ac:dyDescent="0.35">
      <c r="A141" s="7">
        <v>19</v>
      </c>
    </row>
    <row r="142" spans="1:1" x14ac:dyDescent="0.35">
      <c r="A142" s="7">
        <v>50</v>
      </c>
    </row>
    <row r="143" spans="1:1" x14ac:dyDescent="0.35">
      <c r="A143" s="7">
        <v>100</v>
      </c>
    </row>
    <row r="144" spans="1:1" x14ac:dyDescent="0.35">
      <c r="A144" s="7">
        <v>18</v>
      </c>
    </row>
    <row r="145" spans="1:1" x14ac:dyDescent="0.35">
      <c r="A145" s="7">
        <v>62</v>
      </c>
    </row>
    <row r="146" spans="1:1" x14ac:dyDescent="0.35">
      <c r="A146" s="7">
        <v>70</v>
      </c>
    </row>
    <row r="147" spans="1:1" x14ac:dyDescent="0.35">
      <c r="A147" s="7">
        <v>46</v>
      </c>
    </row>
    <row r="148" spans="1:1" x14ac:dyDescent="0.35">
      <c r="A148" s="7">
        <v>70</v>
      </c>
    </row>
    <row r="149" spans="1:1" x14ac:dyDescent="0.35">
      <c r="A149" s="7">
        <v>80</v>
      </c>
    </row>
    <row r="150" spans="1:1" x14ac:dyDescent="0.35">
      <c r="A150" s="7">
        <v>100</v>
      </c>
    </row>
    <row r="151" spans="1:1" x14ac:dyDescent="0.35">
      <c r="A151" s="7">
        <v>61</v>
      </c>
    </row>
    <row r="152" spans="1:1" x14ac:dyDescent="0.35">
      <c r="A152" s="7">
        <v>98</v>
      </c>
    </row>
    <row r="153" spans="1:1" x14ac:dyDescent="0.35">
      <c r="A153" s="7">
        <v>66</v>
      </c>
    </row>
    <row r="154" spans="1:1" x14ac:dyDescent="0.35">
      <c r="A154" s="7">
        <v>88</v>
      </c>
    </row>
    <row r="155" spans="1:1" x14ac:dyDescent="0.35">
      <c r="A155" s="7">
        <v>107</v>
      </c>
    </row>
    <row r="156" spans="1:1" x14ac:dyDescent="0.35">
      <c r="A156" s="7">
        <v>17</v>
      </c>
    </row>
    <row r="157" spans="1:1" x14ac:dyDescent="0.35">
      <c r="A157" s="7">
        <v>27</v>
      </c>
    </row>
    <row r="158" spans="1:1" x14ac:dyDescent="0.35">
      <c r="A158" s="7">
        <v>114</v>
      </c>
    </row>
    <row r="159" spans="1:1" x14ac:dyDescent="0.35">
      <c r="A159" s="7">
        <v>41</v>
      </c>
    </row>
    <row r="160" spans="1:1" x14ac:dyDescent="0.35">
      <c r="A160" s="7">
        <v>44</v>
      </c>
    </row>
    <row r="161" spans="1:1" x14ac:dyDescent="0.35">
      <c r="A161" s="7">
        <v>44</v>
      </c>
    </row>
    <row r="162" spans="1:1" x14ac:dyDescent="0.35">
      <c r="A162" s="7">
        <v>103</v>
      </c>
    </row>
    <row r="163" spans="1:1" x14ac:dyDescent="0.35">
      <c r="A163" s="7">
        <v>108</v>
      </c>
    </row>
    <row r="164" spans="1:1" x14ac:dyDescent="0.35">
      <c r="A164" s="7">
        <v>20</v>
      </c>
    </row>
    <row r="165" spans="1:1" x14ac:dyDescent="0.35">
      <c r="A165" s="7">
        <v>119</v>
      </c>
    </row>
    <row r="166" spans="1:1" x14ac:dyDescent="0.35">
      <c r="A166" s="7">
        <v>107</v>
      </c>
    </row>
    <row r="167" spans="1:1" x14ac:dyDescent="0.35">
      <c r="A167" s="7">
        <v>19</v>
      </c>
    </row>
    <row r="168" spans="1:1" x14ac:dyDescent="0.35">
      <c r="A168" s="7">
        <v>54</v>
      </c>
    </row>
    <row r="169" spans="1:1" x14ac:dyDescent="0.35">
      <c r="A169" s="7">
        <v>95</v>
      </c>
    </row>
    <row r="170" spans="1:1" x14ac:dyDescent="0.35">
      <c r="A170" s="7">
        <v>87</v>
      </c>
    </row>
    <row r="171" spans="1:1" x14ac:dyDescent="0.35">
      <c r="A171" s="7">
        <v>23</v>
      </c>
    </row>
    <row r="172" spans="1:1" x14ac:dyDescent="0.35">
      <c r="A172" s="7">
        <v>115</v>
      </c>
    </row>
    <row r="173" spans="1:1" x14ac:dyDescent="0.35">
      <c r="A173" s="7">
        <v>18</v>
      </c>
    </row>
    <row r="174" spans="1:1" x14ac:dyDescent="0.35">
      <c r="A174" s="7">
        <v>23</v>
      </c>
    </row>
    <row r="175" spans="1:1" x14ac:dyDescent="0.35">
      <c r="A175" s="7">
        <v>57</v>
      </c>
    </row>
    <row r="176" spans="1:1" x14ac:dyDescent="0.35">
      <c r="A176" s="7">
        <v>120</v>
      </c>
    </row>
    <row r="177" spans="1:1" x14ac:dyDescent="0.35">
      <c r="A177" s="7">
        <v>15</v>
      </c>
    </row>
    <row r="178" spans="1:1" x14ac:dyDescent="0.35">
      <c r="A178" s="7">
        <v>62</v>
      </c>
    </row>
    <row r="179" spans="1:1" x14ac:dyDescent="0.35">
      <c r="A179" s="7">
        <v>47</v>
      </c>
    </row>
    <row r="180" spans="1:1" x14ac:dyDescent="0.35">
      <c r="A180" s="7">
        <v>62</v>
      </c>
    </row>
    <row r="181" spans="1:1" x14ac:dyDescent="0.35">
      <c r="A181" s="7">
        <v>47</v>
      </c>
    </row>
    <row r="182" spans="1:1" x14ac:dyDescent="0.35">
      <c r="A182" s="7">
        <v>38</v>
      </c>
    </row>
    <row r="183" spans="1:1" x14ac:dyDescent="0.35">
      <c r="A183" s="7">
        <v>37</v>
      </c>
    </row>
    <row r="184" spans="1:1" x14ac:dyDescent="0.35">
      <c r="A184" s="7">
        <v>68</v>
      </c>
    </row>
    <row r="185" spans="1:1" x14ac:dyDescent="0.35">
      <c r="A185" s="7">
        <v>109</v>
      </c>
    </row>
    <row r="186" spans="1:1" x14ac:dyDescent="0.35">
      <c r="A186" s="7">
        <v>60</v>
      </c>
    </row>
    <row r="187" spans="1:1" x14ac:dyDescent="0.35">
      <c r="A187" s="7">
        <v>110</v>
      </c>
    </row>
    <row r="188" spans="1:1" x14ac:dyDescent="0.35">
      <c r="A188" s="7">
        <v>80</v>
      </c>
    </row>
    <row r="189" spans="1:1" x14ac:dyDescent="0.35">
      <c r="A189" s="7">
        <v>92</v>
      </c>
    </row>
    <row r="190" spans="1:1" x14ac:dyDescent="0.35">
      <c r="A190" s="7">
        <v>117</v>
      </c>
    </row>
    <row r="191" spans="1:1" x14ac:dyDescent="0.35">
      <c r="A191" s="7">
        <v>120</v>
      </c>
    </row>
    <row r="192" spans="1:1" x14ac:dyDescent="0.35">
      <c r="A192" s="7">
        <v>88</v>
      </c>
    </row>
    <row r="193" spans="1:1" x14ac:dyDescent="0.35">
      <c r="A193" s="7">
        <v>97</v>
      </c>
    </row>
    <row r="194" spans="1:1" x14ac:dyDescent="0.35">
      <c r="A194" s="7">
        <v>119</v>
      </c>
    </row>
    <row r="195" spans="1:1" x14ac:dyDescent="0.35">
      <c r="A195" s="7">
        <v>57</v>
      </c>
    </row>
    <row r="196" spans="1:1" x14ac:dyDescent="0.35">
      <c r="A196" s="7">
        <v>62</v>
      </c>
    </row>
    <row r="197" spans="1:1" x14ac:dyDescent="0.35">
      <c r="A197" s="7">
        <v>29</v>
      </c>
    </row>
    <row r="198" spans="1:1" x14ac:dyDescent="0.35">
      <c r="A198" s="7">
        <v>56</v>
      </c>
    </row>
    <row r="199" spans="1:1" x14ac:dyDescent="0.35">
      <c r="A199" s="7">
        <v>104</v>
      </c>
    </row>
    <row r="200" spans="1:1" x14ac:dyDescent="0.35">
      <c r="A200" s="7">
        <v>50</v>
      </c>
    </row>
    <row r="201" spans="1:1" x14ac:dyDescent="0.35">
      <c r="A201" s="7">
        <v>92</v>
      </c>
    </row>
    <row r="202" spans="1:1" x14ac:dyDescent="0.35">
      <c r="A202" s="7">
        <v>82</v>
      </c>
    </row>
    <row r="203" spans="1:1" x14ac:dyDescent="0.35">
      <c r="A203" s="7">
        <v>52</v>
      </c>
    </row>
    <row r="204" spans="1:1" x14ac:dyDescent="0.35">
      <c r="A204" s="7">
        <v>68</v>
      </c>
    </row>
    <row r="205" spans="1:1" x14ac:dyDescent="0.35">
      <c r="A205" s="7">
        <v>98</v>
      </c>
    </row>
    <row r="206" spans="1:1" x14ac:dyDescent="0.35">
      <c r="A206" s="7">
        <v>73</v>
      </c>
    </row>
    <row r="207" spans="1:1" x14ac:dyDescent="0.35">
      <c r="A207" s="7">
        <v>41</v>
      </c>
    </row>
    <row r="208" spans="1:1" x14ac:dyDescent="0.35">
      <c r="A208" s="7">
        <v>76</v>
      </c>
    </row>
    <row r="209" spans="1:1" x14ac:dyDescent="0.35">
      <c r="A209" s="7">
        <v>74</v>
      </c>
    </row>
    <row r="210" spans="1:1" x14ac:dyDescent="0.35">
      <c r="A210" s="7">
        <v>23</v>
      </c>
    </row>
    <row r="211" spans="1:1" x14ac:dyDescent="0.35">
      <c r="A211" s="7">
        <v>120</v>
      </c>
    </row>
    <row r="212" spans="1:1" x14ac:dyDescent="0.35">
      <c r="A212" s="7">
        <v>45</v>
      </c>
    </row>
    <row r="213" spans="1:1" x14ac:dyDescent="0.35">
      <c r="A213" s="7">
        <v>119</v>
      </c>
    </row>
    <row r="214" spans="1:1" x14ac:dyDescent="0.35">
      <c r="A214" s="7">
        <v>24</v>
      </c>
    </row>
    <row r="215" spans="1:1" x14ac:dyDescent="0.35">
      <c r="A215" s="7">
        <v>56</v>
      </c>
    </row>
    <row r="216" spans="1:1" x14ac:dyDescent="0.35">
      <c r="A216" s="7">
        <v>21</v>
      </c>
    </row>
    <row r="217" spans="1:1" x14ac:dyDescent="0.35">
      <c r="A217" s="7">
        <v>24</v>
      </c>
    </row>
    <row r="218" spans="1:1" x14ac:dyDescent="0.35">
      <c r="A218" s="7">
        <v>37</v>
      </c>
    </row>
    <row r="219" spans="1:1" x14ac:dyDescent="0.35">
      <c r="A219" s="7">
        <v>66</v>
      </c>
    </row>
    <row r="220" spans="1:1" x14ac:dyDescent="0.35">
      <c r="A220" s="7">
        <v>54</v>
      </c>
    </row>
    <row r="221" spans="1:1" x14ac:dyDescent="0.35">
      <c r="A221" s="7">
        <v>102</v>
      </c>
    </row>
    <row r="222" spans="1:1" x14ac:dyDescent="0.35">
      <c r="A222" s="7">
        <v>30</v>
      </c>
    </row>
    <row r="223" spans="1:1" x14ac:dyDescent="0.35">
      <c r="A223" s="7">
        <v>61</v>
      </c>
    </row>
    <row r="224" spans="1:1" x14ac:dyDescent="0.35">
      <c r="A224" s="7">
        <v>72</v>
      </c>
    </row>
    <row r="225" spans="1:1" x14ac:dyDescent="0.35">
      <c r="A225" s="7">
        <v>74</v>
      </c>
    </row>
    <row r="226" spans="1:1" x14ac:dyDescent="0.35">
      <c r="A226" s="7">
        <v>99</v>
      </c>
    </row>
    <row r="227" spans="1:1" x14ac:dyDescent="0.35">
      <c r="A227" s="7">
        <v>112</v>
      </c>
    </row>
    <row r="228" spans="1:1" x14ac:dyDescent="0.35">
      <c r="A228" s="7">
        <v>11</v>
      </c>
    </row>
    <row r="229" spans="1:1" x14ac:dyDescent="0.35">
      <c r="A229" s="7">
        <v>117</v>
      </c>
    </row>
    <row r="230" spans="1:1" x14ac:dyDescent="0.35">
      <c r="A230" s="7">
        <v>76</v>
      </c>
    </row>
    <row r="231" spans="1:1" x14ac:dyDescent="0.35">
      <c r="A231" s="7">
        <v>50</v>
      </c>
    </row>
    <row r="232" spans="1:1" x14ac:dyDescent="0.35">
      <c r="A232" s="7">
        <v>25</v>
      </c>
    </row>
    <row r="233" spans="1:1" x14ac:dyDescent="0.35">
      <c r="A233" s="7">
        <v>68</v>
      </c>
    </row>
    <row r="234" spans="1:1" x14ac:dyDescent="0.35">
      <c r="A234" s="7">
        <v>32</v>
      </c>
    </row>
    <row r="235" spans="1:1" x14ac:dyDescent="0.35">
      <c r="A235" s="7">
        <v>37</v>
      </c>
    </row>
    <row r="236" spans="1:1" x14ac:dyDescent="0.35">
      <c r="A236" s="7">
        <v>61</v>
      </c>
    </row>
    <row r="237" spans="1:1" x14ac:dyDescent="0.35">
      <c r="A237" s="7">
        <v>58</v>
      </c>
    </row>
    <row r="238" spans="1:1" x14ac:dyDescent="0.35">
      <c r="A238" s="7">
        <v>117</v>
      </c>
    </row>
    <row r="239" spans="1:1" x14ac:dyDescent="0.35">
      <c r="A239" s="7">
        <v>78</v>
      </c>
    </row>
    <row r="240" spans="1:1" x14ac:dyDescent="0.35">
      <c r="A240" s="7">
        <v>20</v>
      </c>
    </row>
    <row r="241" spans="1:1" x14ac:dyDescent="0.35">
      <c r="A241" s="7">
        <v>24</v>
      </c>
    </row>
    <row r="242" spans="1:1" x14ac:dyDescent="0.35">
      <c r="A242" s="7">
        <v>44</v>
      </c>
    </row>
    <row r="243" spans="1:1" x14ac:dyDescent="0.35">
      <c r="A243" s="7">
        <v>82</v>
      </c>
    </row>
    <row r="244" spans="1:1" x14ac:dyDescent="0.35">
      <c r="A244" s="7">
        <v>58</v>
      </c>
    </row>
    <row r="245" spans="1:1" x14ac:dyDescent="0.35">
      <c r="A245" s="7">
        <v>104</v>
      </c>
    </row>
    <row r="246" spans="1:1" x14ac:dyDescent="0.35">
      <c r="A246" s="7">
        <v>14</v>
      </c>
    </row>
    <row r="247" spans="1:1" x14ac:dyDescent="0.35">
      <c r="A247" s="7">
        <v>33</v>
      </c>
    </row>
    <row r="248" spans="1:1" x14ac:dyDescent="0.35">
      <c r="A248" s="7">
        <v>24</v>
      </c>
    </row>
    <row r="249" spans="1:1" x14ac:dyDescent="0.35">
      <c r="A249" s="7">
        <v>62</v>
      </c>
    </row>
    <row r="250" spans="1:1" x14ac:dyDescent="0.35">
      <c r="A250" s="7">
        <v>119</v>
      </c>
    </row>
    <row r="251" spans="1:1" x14ac:dyDescent="0.35">
      <c r="A251" s="7">
        <v>37</v>
      </c>
    </row>
    <row r="252" spans="1:1" x14ac:dyDescent="0.35">
      <c r="A252" s="7">
        <v>29</v>
      </c>
    </row>
    <row r="253" spans="1:1" x14ac:dyDescent="0.35">
      <c r="A253" s="7">
        <v>42</v>
      </c>
    </row>
    <row r="254" spans="1:1" x14ac:dyDescent="0.35">
      <c r="A254" s="7">
        <v>83</v>
      </c>
    </row>
    <row r="255" spans="1:1" x14ac:dyDescent="0.35">
      <c r="A255" s="7">
        <v>42</v>
      </c>
    </row>
    <row r="256" spans="1:1" x14ac:dyDescent="0.35">
      <c r="A256" s="7">
        <v>78</v>
      </c>
    </row>
    <row r="257" spans="1:1" x14ac:dyDescent="0.35">
      <c r="A257" s="7">
        <v>70</v>
      </c>
    </row>
    <row r="258" spans="1:1" x14ac:dyDescent="0.35">
      <c r="A258" s="7">
        <v>14</v>
      </c>
    </row>
    <row r="259" spans="1:1" x14ac:dyDescent="0.35">
      <c r="A259" s="7">
        <v>69</v>
      </c>
    </row>
    <row r="260" spans="1:1" x14ac:dyDescent="0.35">
      <c r="A260" s="7">
        <v>46</v>
      </c>
    </row>
    <row r="261" spans="1:1" x14ac:dyDescent="0.35">
      <c r="A261" s="7">
        <v>66</v>
      </c>
    </row>
    <row r="262" spans="1:1" x14ac:dyDescent="0.35">
      <c r="A262" s="7">
        <v>75</v>
      </c>
    </row>
    <row r="263" spans="1:1" x14ac:dyDescent="0.35">
      <c r="A263" s="7">
        <v>29</v>
      </c>
    </row>
    <row r="264" spans="1:1" x14ac:dyDescent="0.35">
      <c r="A264" s="7">
        <v>11</v>
      </c>
    </row>
    <row r="265" spans="1:1" x14ac:dyDescent="0.35">
      <c r="A265" s="7">
        <v>114</v>
      </c>
    </row>
    <row r="266" spans="1:1" x14ac:dyDescent="0.35">
      <c r="A266" s="7">
        <v>62</v>
      </c>
    </row>
    <row r="267" spans="1:1" x14ac:dyDescent="0.35">
      <c r="A267" s="7">
        <v>12</v>
      </c>
    </row>
    <row r="268" spans="1:1" x14ac:dyDescent="0.35">
      <c r="A268" s="7">
        <v>44</v>
      </c>
    </row>
    <row r="269" spans="1:1" x14ac:dyDescent="0.35">
      <c r="A269" s="7">
        <v>25</v>
      </c>
    </row>
    <row r="270" spans="1:1" x14ac:dyDescent="0.35">
      <c r="A270" s="7">
        <v>14</v>
      </c>
    </row>
    <row r="271" spans="1:1" x14ac:dyDescent="0.35">
      <c r="A271" s="7">
        <v>26</v>
      </c>
    </row>
    <row r="272" spans="1:1" x14ac:dyDescent="0.35">
      <c r="A272" s="7">
        <v>102</v>
      </c>
    </row>
    <row r="273" spans="1:1" x14ac:dyDescent="0.35">
      <c r="A273" s="7">
        <v>117</v>
      </c>
    </row>
    <row r="274" spans="1:1" x14ac:dyDescent="0.35">
      <c r="A274" s="7">
        <v>108</v>
      </c>
    </row>
    <row r="275" spans="1:1" x14ac:dyDescent="0.35">
      <c r="A275" s="7">
        <v>100</v>
      </c>
    </row>
    <row r="276" spans="1:1" x14ac:dyDescent="0.35">
      <c r="A276" s="7">
        <v>27</v>
      </c>
    </row>
    <row r="277" spans="1:1" x14ac:dyDescent="0.35">
      <c r="A277" s="7">
        <v>113</v>
      </c>
    </row>
    <row r="278" spans="1:1" x14ac:dyDescent="0.35">
      <c r="A278" s="7">
        <v>118</v>
      </c>
    </row>
    <row r="279" spans="1:1" x14ac:dyDescent="0.35">
      <c r="A279" s="7">
        <v>119</v>
      </c>
    </row>
    <row r="280" spans="1:1" x14ac:dyDescent="0.35">
      <c r="A280" s="7">
        <v>15</v>
      </c>
    </row>
    <row r="281" spans="1:1" x14ac:dyDescent="0.35">
      <c r="A281" s="7">
        <v>79</v>
      </c>
    </row>
    <row r="282" spans="1:1" x14ac:dyDescent="0.35">
      <c r="A282" s="7">
        <v>84</v>
      </c>
    </row>
    <row r="283" spans="1:1" x14ac:dyDescent="0.35">
      <c r="A283" s="7">
        <v>41</v>
      </c>
    </row>
    <row r="284" spans="1:1" x14ac:dyDescent="0.35">
      <c r="A284" s="7">
        <v>43</v>
      </c>
    </row>
    <row r="285" spans="1:1" x14ac:dyDescent="0.35">
      <c r="A285" s="7">
        <v>33</v>
      </c>
    </row>
    <row r="286" spans="1:1" x14ac:dyDescent="0.35">
      <c r="A286" s="7">
        <v>35</v>
      </c>
    </row>
    <row r="287" spans="1:1" x14ac:dyDescent="0.35">
      <c r="A287" s="7">
        <v>114</v>
      </c>
    </row>
    <row r="288" spans="1:1" x14ac:dyDescent="0.35">
      <c r="A288" s="7">
        <v>38</v>
      </c>
    </row>
    <row r="289" spans="1:1" x14ac:dyDescent="0.35">
      <c r="A289" s="7">
        <v>46</v>
      </c>
    </row>
    <row r="290" spans="1:1" x14ac:dyDescent="0.35">
      <c r="A290" s="7">
        <v>71</v>
      </c>
    </row>
    <row r="291" spans="1:1" x14ac:dyDescent="0.35">
      <c r="A291" s="7">
        <v>52</v>
      </c>
    </row>
    <row r="292" spans="1:1" x14ac:dyDescent="0.35">
      <c r="A292" s="7">
        <v>68</v>
      </c>
    </row>
    <row r="293" spans="1:1" x14ac:dyDescent="0.35">
      <c r="A293" s="7">
        <v>111</v>
      </c>
    </row>
    <row r="294" spans="1:1" x14ac:dyDescent="0.35">
      <c r="A294" s="7">
        <v>85</v>
      </c>
    </row>
    <row r="295" spans="1:1" x14ac:dyDescent="0.35">
      <c r="A295" s="7">
        <v>95</v>
      </c>
    </row>
    <row r="296" spans="1:1" x14ac:dyDescent="0.35">
      <c r="A296" s="7">
        <v>119</v>
      </c>
    </row>
    <row r="297" spans="1:1" x14ac:dyDescent="0.35">
      <c r="A297" s="7">
        <v>76</v>
      </c>
    </row>
    <row r="298" spans="1:1" x14ac:dyDescent="0.35">
      <c r="A298" s="7">
        <v>61</v>
      </c>
    </row>
    <row r="299" spans="1:1" x14ac:dyDescent="0.35">
      <c r="A299" s="7">
        <v>89</v>
      </c>
    </row>
    <row r="300" spans="1:1" x14ac:dyDescent="0.35">
      <c r="A300" s="7">
        <v>31</v>
      </c>
    </row>
    <row r="301" spans="1:1" x14ac:dyDescent="0.35">
      <c r="A301" s="7">
        <v>118</v>
      </c>
    </row>
    <row r="302" spans="1:1" x14ac:dyDescent="0.35">
      <c r="A302" s="7">
        <v>38</v>
      </c>
    </row>
    <row r="303" spans="1:1" x14ac:dyDescent="0.35">
      <c r="A303" s="7">
        <v>60</v>
      </c>
    </row>
    <row r="304" spans="1:1" x14ac:dyDescent="0.35">
      <c r="A304" s="7">
        <v>75</v>
      </c>
    </row>
    <row r="305" spans="1:1" x14ac:dyDescent="0.35">
      <c r="A305" s="7">
        <v>51</v>
      </c>
    </row>
    <row r="306" spans="1:1" x14ac:dyDescent="0.35">
      <c r="A306" s="7">
        <v>76</v>
      </c>
    </row>
    <row r="307" spans="1:1" x14ac:dyDescent="0.35">
      <c r="A307" s="7">
        <v>83</v>
      </c>
    </row>
    <row r="308" spans="1:1" x14ac:dyDescent="0.35">
      <c r="A308" s="7">
        <v>32</v>
      </c>
    </row>
    <row r="309" spans="1:1" x14ac:dyDescent="0.35">
      <c r="A309" s="7">
        <v>89</v>
      </c>
    </row>
    <row r="310" spans="1:1" x14ac:dyDescent="0.35">
      <c r="A310" s="7">
        <v>115</v>
      </c>
    </row>
    <row r="311" spans="1:1" x14ac:dyDescent="0.35">
      <c r="A311" s="7">
        <v>94</v>
      </c>
    </row>
    <row r="312" spans="1:1" x14ac:dyDescent="0.35">
      <c r="A312" s="7">
        <v>75</v>
      </c>
    </row>
    <row r="313" spans="1:1" x14ac:dyDescent="0.35">
      <c r="A313" s="7">
        <v>115</v>
      </c>
    </row>
    <row r="314" spans="1:1" x14ac:dyDescent="0.35">
      <c r="A314" s="7">
        <v>35</v>
      </c>
    </row>
    <row r="315" spans="1:1" x14ac:dyDescent="0.35">
      <c r="A315" s="7">
        <v>89</v>
      </c>
    </row>
    <row r="316" spans="1:1" x14ac:dyDescent="0.35">
      <c r="A316" s="7">
        <v>60</v>
      </c>
    </row>
    <row r="317" spans="1:1" x14ac:dyDescent="0.35">
      <c r="A317" s="7">
        <v>62</v>
      </c>
    </row>
    <row r="318" spans="1:1" x14ac:dyDescent="0.35">
      <c r="A318" s="7">
        <v>57</v>
      </c>
    </row>
    <row r="319" spans="1:1" x14ac:dyDescent="0.35">
      <c r="A319" s="7">
        <v>33</v>
      </c>
    </row>
    <row r="320" spans="1:1" x14ac:dyDescent="0.35">
      <c r="A320" s="7">
        <v>103</v>
      </c>
    </row>
    <row r="321" spans="1:1" x14ac:dyDescent="0.35">
      <c r="A321" s="7">
        <v>34</v>
      </c>
    </row>
    <row r="322" spans="1:1" x14ac:dyDescent="0.35">
      <c r="A322" s="7">
        <v>54</v>
      </c>
    </row>
    <row r="323" spans="1:1" x14ac:dyDescent="0.35">
      <c r="A323" s="7">
        <v>14</v>
      </c>
    </row>
    <row r="324" spans="1:1" x14ac:dyDescent="0.35">
      <c r="A324" s="7">
        <v>26</v>
      </c>
    </row>
    <row r="325" spans="1:1" x14ac:dyDescent="0.35">
      <c r="A325" s="7">
        <v>20</v>
      </c>
    </row>
    <row r="326" spans="1:1" x14ac:dyDescent="0.35">
      <c r="A326" s="7">
        <v>62</v>
      </c>
    </row>
    <row r="327" spans="1:1" x14ac:dyDescent="0.35">
      <c r="A327" s="7">
        <v>118</v>
      </c>
    </row>
    <row r="328" spans="1:1" x14ac:dyDescent="0.35">
      <c r="A328" s="7">
        <v>68</v>
      </c>
    </row>
    <row r="329" spans="1:1" x14ac:dyDescent="0.35">
      <c r="A329" s="7">
        <v>111</v>
      </c>
    </row>
    <row r="330" spans="1:1" x14ac:dyDescent="0.35">
      <c r="A330" s="7">
        <v>25</v>
      </c>
    </row>
    <row r="331" spans="1:1" x14ac:dyDescent="0.35">
      <c r="A331" s="7">
        <v>107</v>
      </c>
    </row>
    <row r="332" spans="1:1" x14ac:dyDescent="0.35">
      <c r="A332" s="7">
        <v>42</v>
      </c>
    </row>
    <row r="333" spans="1:1" x14ac:dyDescent="0.35">
      <c r="A333" s="7">
        <v>13</v>
      </c>
    </row>
    <row r="334" spans="1:1" x14ac:dyDescent="0.35">
      <c r="A334" s="7">
        <v>107</v>
      </c>
    </row>
    <row r="335" spans="1:1" x14ac:dyDescent="0.35">
      <c r="A335" s="7">
        <v>31</v>
      </c>
    </row>
    <row r="336" spans="1:1" x14ac:dyDescent="0.35">
      <c r="A336" s="7">
        <v>31</v>
      </c>
    </row>
    <row r="337" spans="1:1" x14ac:dyDescent="0.35">
      <c r="A337" s="7">
        <v>27</v>
      </c>
    </row>
    <row r="338" spans="1:1" x14ac:dyDescent="0.35">
      <c r="A338" s="7">
        <v>36</v>
      </c>
    </row>
    <row r="339" spans="1:1" x14ac:dyDescent="0.35">
      <c r="A339" s="7">
        <v>61</v>
      </c>
    </row>
    <row r="340" spans="1:1" x14ac:dyDescent="0.35">
      <c r="A340" s="7">
        <v>102</v>
      </c>
    </row>
    <row r="341" spans="1:1" x14ac:dyDescent="0.35">
      <c r="A341" s="7">
        <v>79</v>
      </c>
    </row>
    <row r="342" spans="1:1" x14ac:dyDescent="0.35">
      <c r="A342" s="7">
        <v>61</v>
      </c>
    </row>
    <row r="343" spans="1:1" x14ac:dyDescent="0.35">
      <c r="A343" s="7">
        <v>15</v>
      </c>
    </row>
    <row r="344" spans="1:1" x14ac:dyDescent="0.35">
      <c r="A344" s="7">
        <v>108</v>
      </c>
    </row>
    <row r="345" spans="1:1" x14ac:dyDescent="0.35">
      <c r="A345" s="7">
        <v>33</v>
      </c>
    </row>
    <row r="346" spans="1:1" x14ac:dyDescent="0.35">
      <c r="A346" s="7">
        <v>102</v>
      </c>
    </row>
    <row r="347" spans="1:1" x14ac:dyDescent="0.35">
      <c r="A347" s="7">
        <v>27</v>
      </c>
    </row>
    <row r="348" spans="1:1" x14ac:dyDescent="0.35">
      <c r="A348" s="7">
        <v>97</v>
      </c>
    </row>
    <row r="349" spans="1:1" x14ac:dyDescent="0.35">
      <c r="A349" s="7">
        <v>65</v>
      </c>
    </row>
    <row r="350" spans="1:1" x14ac:dyDescent="0.35">
      <c r="A350" s="7">
        <v>120</v>
      </c>
    </row>
    <row r="351" spans="1:1" x14ac:dyDescent="0.35">
      <c r="A351" s="7">
        <v>23</v>
      </c>
    </row>
    <row r="352" spans="1:1" x14ac:dyDescent="0.35">
      <c r="A352" s="7">
        <v>78</v>
      </c>
    </row>
    <row r="353" spans="1:1" x14ac:dyDescent="0.35">
      <c r="A353" s="7">
        <v>16</v>
      </c>
    </row>
    <row r="354" spans="1:1" x14ac:dyDescent="0.35">
      <c r="A354" s="7">
        <v>51</v>
      </c>
    </row>
    <row r="355" spans="1:1" x14ac:dyDescent="0.35">
      <c r="A355" s="7">
        <v>49</v>
      </c>
    </row>
    <row r="356" spans="1:1" x14ac:dyDescent="0.35">
      <c r="A356" s="7">
        <v>28</v>
      </c>
    </row>
    <row r="357" spans="1:1" x14ac:dyDescent="0.35">
      <c r="A357" s="7">
        <v>71</v>
      </c>
    </row>
    <row r="358" spans="1:1" x14ac:dyDescent="0.35">
      <c r="A358" s="7">
        <v>25</v>
      </c>
    </row>
    <row r="359" spans="1:1" x14ac:dyDescent="0.35">
      <c r="A359" s="7">
        <v>21</v>
      </c>
    </row>
    <row r="360" spans="1:1" x14ac:dyDescent="0.35">
      <c r="A360" s="7">
        <v>64</v>
      </c>
    </row>
    <row r="361" spans="1:1" x14ac:dyDescent="0.35">
      <c r="A361" s="7">
        <v>102</v>
      </c>
    </row>
    <row r="362" spans="1:1" x14ac:dyDescent="0.35">
      <c r="A362" s="7">
        <v>67</v>
      </c>
    </row>
    <row r="363" spans="1:1" x14ac:dyDescent="0.35">
      <c r="A363" s="7">
        <v>65</v>
      </c>
    </row>
    <row r="364" spans="1:1" x14ac:dyDescent="0.35">
      <c r="A364" s="7">
        <v>97</v>
      </c>
    </row>
    <row r="365" spans="1:1" x14ac:dyDescent="0.35">
      <c r="A365" s="7">
        <v>70</v>
      </c>
    </row>
    <row r="366" spans="1:1" x14ac:dyDescent="0.35">
      <c r="A366" s="7">
        <v>16</v>
      </c>
    </row>
    <row r="367" spans="1:1" x14ac:dyDescent="0.35">
      <c r="A367" s="7">
        <v>62</v>
      </c>
    </row>
    <row r="368" spans="1:1" x14ac:dyDescent="0.35">
      <c r="A368" s="7">
        <v>19</v>
      </c>
    </row>
    <row r="369" spans="1:1" x14ac:dyDescent="0.35">
      <c r="A369" s="7">
        <v>38</v>
      </c>
    </row>
    <row r="370" spans="1:1" x14ac:dyDescent="0.35">
      <c r="A370" s="7">
        <v>111</v>
      </c>
    </row>
    <row r="371" spans="1:1" x14ac:dyDescent="0.35">
      <c r="A371" s="7">
        <v>41</v>
      </c>
    </row>
    <row r="372" spans="1:1" x14ac:dyDescent="0.35">
      <c r="A372" s="7">
        <v>116</v>
      </c>
    </row>
    <row r="373" spans="1:1" x14ac:dyDescent="0.35">
      <c r="A373" s="7">
        <v>44</v>
      </c>
    </row>
    <row r="374" spans="1:1" x14ac:dyDescent="0.35">
      <c r="A374" s="7">
        <v>102</v>
      </c>
    </row>
    <row r="375" spans="1:1" x14ac:dyDescent="0.35">
      <c r="A375" s="7">
        <v>44</v>
      </c>
    </row>
    <row r="376" spans="1:1" x14ac:dyDescent="0.35">
      <c r="A376" s="7">
        <v>50</v>
      </c>
    </row>
    <row r="377" spans="1:1" x14ac:dyDescent="0.35">
      <c r="A377" s="7">
        <v>60</v>
      </c>
    </row>
    <row r="378" spans="1:1" x14ac:dyDescent="0.35">
      <c r="A378" s="7">
        <v>89</v>
      </c>
    </row>
    <row r="379" spans="1:1" x14ac:dyDescent="0.35">
      <c r="A379" s="7">
        <v>16</v>
      </c>
    </row>
    <row r="380" spans="1:1" x14ac:dyDescent="0.35">
      <c r="A380" s="7">
        <v>78</v>
      </c>
    </row>
    <row r="381" spans="1:1" x14ac:dyDescent="0.35">
      <c r="A381" s="7">
        <v>87</v>
      </c>
    </row>
    <row r="382" spans="1:1" x14ac:dyDescent="0.35">
      <c r="A382" s="7">
        <v>46</v>
      </c>
    </row>
    <row r="383" spans="1:1" x14ac:dyDescent="0.35">
      <c r="A383" s="7">
        <v>110</v>
      </c>
    </row>
    <row r="384" spans="1:1" x14ac:dyDescent="0.35">
      <c r="A384" s="7">
        <v>39</v>
      </c>
    </row>
    <row r="385" spans="1:1" x14ac:dyDescent="0.35">
      <c r="A385" s="7">
        <v>40</v>
      </c>
    </row>
    <row r="386" spans="1:1" x14ac:dyDescent="0.35">
      <c r="A386" s="7">
        <v>60</v>
      </c>
    </row>
    <row r="387" spans="1:1" x14ac:dyDescent="0.35">
      <c r="A387" s="7">
        <v>84</v>
      </c>
    </row>
    <row r="388" spans="1:1" x14ac:dyDescent="0.35">
      <c r="A388" s="7">
        <v>85</v>
      </c>
    </row>
    <row r="389" spans="1:1" x14ac:dyDescent="0.35">
      <c r="A389" s="7">
        <v>75</v>
      </c>
    </row>
    <row r="390" spans="1:1" x14ac:dyDescent="0.35">
      <c r="A390" s="7">
        <v>89</v>
      </c>
    </row>
    <row r="391" spans="1:1" x14ac:dyDescent="0.35">
      <c r="A391" s="7">
        <v>90</v>
      </c>
    </row>
    <row r="392" spans="1:1" x14ac:dyDescent="0.35">
      <c r="A392" s="7">
        <v>21</v>
      </c>
    </row>
    <row r="393" spans="1:1" x14ac:dyDescent="0.35">
      <c r="A393" s="7">
        <v>52</v>
      </c>
    </row>
    <row r="394" spans="1:1" x14ac:dyDescent="0.35">
      <c r="A394" s="7">
        <v>91</v>
      </c>
    </row>
    <row r="395" spans="1:1" x14ac:dyDescent="0.35">
      <c r="A395" s="7">
        <v>72</v>
      </c>
    </row>
    <row r="396" spans="1:1" x14ac:dyDescent="0.35">
      <c r="A396" s="7">
        <v>17</v>
      </c>
    </row>
    <row r="397" spans="1:1" x14ac:dyDescent="0.35">
      <c r="A397" s="7">
        <v>56</v>
      </c>
    </row>
    <row r="398" spans="1:1" x14ac:dyDescent="0.35">
      <c r="A398" s="7">
        <v>44</v>
      </c>
    </row>
    <row r="399" spans="1:1" x14ac:dyDescent="0.35">
      <c r="A399" s="7">
        <v>35</v>
      </c>
    </row>
    <row r="400" spans="1:1" x14ac:dyDescent="0.35">
      <c r="A400" s="7">
        <v>16</v>
      </c>
    </row>
    <row r="401" spans="1:1" x14ac:dyDescent="0.35">
      <c r="A401" s="7">
        <v>78</v>
      </c>
    </row>
    <row r="402" spans="1:1" x14ac:dyDescent="0.35">
      <c r="A402" s="7">
        <v>98</v>
      </c>
    </row>
    <row r="403" spans="1:1" x14ac:dyDescent="0.35">
      <c r="A403" s="7">
        <v>18</v>
      </c>
    </row>
    <row r="404" spans="1:1" x14ac:dyDescent="0.35">
      <c r="A404" s="7">
        <v>111</v>
      </c>
    </row>
    <row r="405" spans="1:1" x14ac:dyDescent="0.35">
      <c r="A405" s="7">
        <v>49</v>
      </c>
    </row>
    <row r="406" spans="1:1" x14ac:dyDescent="0.35">
      <c r="A406" s="7">
        <v>104</v>
      </c>
    </row>
    <row r="407" spans="1:1" x14ac:dyDescent="0.35">
      <c r="A407" s="7">
        <v>17</v>
      </c>
    </row>
    <row r="408" spans="1:1" x14ac:dyDescent="0.35">
      <c r="A408" s="7">
        <v>70</v>
      </c>
    </row>
    <row r="409" spans="1:1" x14ac:dyDescent="0.35">
      <c r="A409" s="7">
        <v>54</v>
      </c>
    </row>
    <row r="410" spans="1:1" x14ac:dyDescent="0.35">
      <c r="A410" s="7">
        <v>99</v>
      </c>
    </row>
    <row r="411" spans="1:1" x14ac:dyDescent="0.35">
      <c r="A411" s="7">
        <v>85</v>
      </c>
    </row>
    <row r="412" spans="1:1" x14ac:dyDescent="0.35">
      <c r="A412" s="7">
        <v>23</v>
      </c>
    </row>
    <row r="413" spans="1:1" x14ac:dyDescent="0.35">
      <c r="A413" s="7">
        <v>56</v>
      </c>
    </row>
    <row r="414" spans="1:1" x14ac:dyDescent="0.35">
      <c r="A414" s="7">
        <v>74</v>
      </c>
    </row>
    <row r="415" spans="1:1" x14ac:dyDescent="0.35">
      <c r="A415" s="7">
        <v>120</v>
      </c>
    </row>
    <row r="416" spans="1:1" x14ac:dyDescent="0.35">
      <c r="A416" s="7">
        <v>104</v>
      </c>
    </row>
    <row r="417" spans="1:1" x14ac:dyDescent="0.35">
      <c r="A417" s="7">
        <v>109</v>
      </c>
    </row>
    <row r="418" spans="1:1" x14ac:dyDescent="0.35">
      <c r="A418" s="7">
        <v>50</v>
      </c>
    </row>
    <row r="419" spans="1:1" x14ac:dyDescent="0.35">
      <c r="A419" s="7">
        <v>73</v>
      </c>
    </row>
    <row r="420" spans="1:1" x14ac:dyDescent="0.35">
      <c r="A420" s="7">
        <v>104</v>
      </c>
    </row>
    <row r="421" spans="1:1" x14ac:dyDescent="0.35">
      <c r="A421" s="7">
        <v>22</v>
      </c>
    </row>
    <row r="422" spans="1:1" x14ac:dyDescent="0.35">
      <c r="A422" s="7">
        <v>52</v>
      </c>
    </row>
    <row r="423" spans="1:1" x14ac:dyDescent="0.35">
      <c r="A423" s="7">
        <v>88</v>
      </c>
    </row>
    <row r="424" spans="1:1" x14ac:dyDescent="0.35">
      <c r="A424" s="7">
        <v>109</v>
      </c>
    </row>
    <row r="425" spans="1:1" x14ac:dyDescent="0.35">
      <c r="A425" s="7">
        <v>45</v>
      </c>
    </row>
    <row r="426" spans="1:1" x14ac:dyDescent="0.35">
      <c r="A426" s="7">
        <v>56</v>
      </c>
    </row>
    <row r="427" spans="1:1" x14ac:dyDescent="0.35">
      <c r="A427" s="7">
        <v>110</v>
      </c>
    </row>
    <row r="428" spans="1:1" x14ac:dyDescent="0.35">
      <c r="A428" s="7">
        <v>113</v>
      </c>
    </row>
    <row r="429" spans="1:1" x14ac:dyDescent="0.35">
      <c r="A429" s="7">
        <v>74</v>
      </c>
    </row>
    <row r="430" spans="1:1" x14ac:dyDescent="0.35">
      <c r="A430" s="7">
        <v>27</v>
      </c>
    </row>
    <row r="431" spans="1:1" x14ac:dyDescent="0.35">
      <c r="A431" s="7">
        <v>48</v>
      </c>
    </row>
    <row r="432" spans="1:1" x14ac:dyDescent="0.35">
      <c r="A432" s="7">
        <v>44</v>
      </c>
    </row>
    <row r="433" spans="1:1" x14ac:dyDescent="0.35">
      <c r="A433" s="7">
        <v>83</v>
      </c>
    </row>
    <row r="434" spans="1:1" x14ac:dyDescent="0.35">
      <c r="A434" s="7">
        <v>60</v>
      </c>
    </row>
    <row r="435" spans="1:1" x14ac:dyDescent="0.35">
      <c r="A435" s="7">
        <v>40</v>
      </c>
    </row>
    <row r="436" spans="1:1" x14ac:dyDescent="0.35">
      <c r="A436" s="7">
        <v>23</v>
      </c>
    </row>
    <row r="437" spans="1:1" x14ac:dyDescent="0.35">
      <c r="A437" s="7">
        <v>120</v>
      </c>
    </row>
    <row r="438" spans="1:1" x14ac:dyDescent="0.35">
      <c r="A438" s="7">
        <v>58</v>
      </c>
    </row>
    <row r="439" spans="1:1" x14ac:dyDescent="0.35">
      <c r="A439" s="7">
        <v>64</v>
      </c>
    </row>
    <row r="440" spans="1:1" x14ac:dyDescent="0.35">
      <c r="A440" s="7">
        <v>88</v>
      </c>
    </row>
    <row r="441" spans="1:1" x14ac:dyDescent="0.35">
      <c r="A441" s="7">
        <v>110</v>
      </c>
    </row>
    <row r="442" spans="1:1" x14ac:dyDescent="0.35">
      <c r="A442" s="7">
        <v>33</v>
      </c>
    </row>
    <row r="443" spans="1:1" x14ac:dyDescent="0.35">
      <c r="A443" s="7">
        <v>15</v>
      </c>
    </row>
    <row r="444" spans="1:1" x14ac:dyDescent="0.35">
      <c r="A444" s="7">
        <v>48</v>
      </c>
    </row>
    <row r="445" spans="1:1" x14ac:dyDescent="0.35">
      <c r="A445" s="7">
        <v>27</v>
      </c>
    </row>
    <row r="446" spans="1:1" x14ac:dyDescent="0.35">
      <c r="A446" s="7">
        <v>89</v>
      </c>
    </row>
    <row r="447" spans="1:1" x14ac:dyDescent="0.35">
      <c r="A447" s="7">
        <v>81</v>
      </c>
    </row>
    <row r="448" spans="1:1" x14ac:dyDescent="0.35">
      <c r="A448" s="7">
        <v>69</v>
      </c>
    </row>
    <row r="449" spans="1:1" x14ac:dyDescent="0.35">
      <c r="A449" s="7">
        <v>117</v>
      </c>
    </row>
    <row r="450" spans="1:1" x14ac:dyDescent="0.35">
      <c r="A450" s="7">
        <v>29</v>
      </c>
    </row>
    <row r="451" spans="1:1" x14ac:dyDescent="0.35">
      <c r="A451" s="7">
        <v>98</v>
      </c>
    </row>
    <row r="452" spans="1:1" x14ac:dyDescent="0.35">
      <c r="A452" s="7">
        <v>65</v>
      </c>
    </row>
    <row r="453" spans="1:1" x14ac:dyDescent="0.35">
      <c r="A453" s="7">
        <v>76</v>
      </c>
    </row>
    <row r="454" spans="1:1" x14ac:dyDescent="0.35">
      <c r="A454" s="7">
        <v>86</v>
      </c>
    </row>
    <row r="455" spans="1:1" x14ac:dyDescent="0.35">
      <c r="A455" s="7">
        <v>16</v>
      </c>
    </row>
    <row r="456" spans="1:1" x14ac:dyDescent="0.35">
      <c r="A456" s="7">
        <v>38</v>
      </c>
    </row>
    <row r="457" spans="1:1" x14ac:dyDescent="0.35">
      <c r="A457" s="7">
        <v>113</v>
      </c>
    </row>
    <row r="458" spans="1:1" x14ac:dyDescent="0.35">
      <c r="A458" s="7">
        <v>12</v>
      </c>
    </row>
    <row r="459" spans="1:1" x14ac:dyDescent="0.35">
      <c r="A459" s="7">
        <v>105</v>
      </c>
    </row>
    <row r="460" spans="1:1" x14ac:dyDescent="0.35">
      <c r="A460" s="7">
        <v>46</v>
      </c>
    </row>
    <row r="461" spans="1:1" x14ac:dyDescent="0.35">
      <c r="A461" s="7">
        <v>26</v>
      </c>
    </row>
    <row r="462" spans="1:1" x14ac:dyDescent="0.35">
      <c r="A462" s="7">
        <v>18</v>
      </c>
    </row>
    <row r="463" spans="1:1" x14ac:dyDescent="0.35">
      <c r="A463" s="7">
        <v>37</v>
      </c>
    </row>
    <row r="464" spans="1:1" x14ac:dyDescent="0.35">
      <c r="A464" s="7">
        <v>15</v>
      </c>
    </row>
    <row r="465" spans="1:1" x14ac:dyDescent="0.35">
      <c r="A465" s="7">
        <v>49</v>
      </c>
    </row>
    <row r="466" spans="1:1" x14ac:dyDescent="0.35">
      <c r="A466" s="7">
        <v>32</v>
      </c>
    </row>
    <row r="467" spans="1:1" x14ac:dyDescent="0.35">
      <c r="A467" s="7">
        <v>41</v>
      </c>
    </row>
    <row r="468" spans="1:1" x14ac:dyDescent="0.35">
      <c r="A468" s="7">
        <v>33</v>
      </c>
    </row>
    <row r="469" spans="1:1" x14ac:dyDescent="0.35">
      <c r="A469" s="7">
        <v>107</v>
      </c>
    </row>
    <row r="470" spans="1:1" x14ac:dyDescent="0.35">
      <c r="A470" s="7">
        <v>49</v>
      </c>
    </row>
    <row r="471" spans="1:1" x14ac:dyDescent="0.35">
      <c r="A471" s="7">
        <v>94</v>
      </c>
    </row>
    <row r="472" spans="1:1" x14ac:dyDescent="0.35">
      <c r="A472" s="7">
        <v>39</v>
      </c>
    </row>
    <row r="473" spans="1:1" x14ac:dyDescent="0.35">
      <c r="A473" s="7">
        <v>50</v>
      </c>
    </row>
    <row r="474" spans="1:1" x14ac:dyDescent="0.35">
      <c r="A474" s="7">
        <v>20</v>
      </c>
    </row>
    <row r="475" spans="1:1" x14ac:dyDescent="0.35">
      <c r="A475" s="7">
        <v>85</v>
      </c>
    </row>
    <row r="476" spans="1:1" x14ac:dyDescent="0.35">
      <c r="A476" s="7">
        <v>26</v>
      </c>
    </row>
    <row r="477" spans="1:1" x14ac:dyDescent="0.35">
      <c r="A477" s="7">
        <v>110</v>
      </c>
    </row>
    <row r="478" spans="1:1" x14ac:dyDescent="0.35">
      <c r="A478" s="7">
        <v>78</v>
      </c>
    </row>
    <row r="479" spans="1:1" x14ac:dyDescent="0.35">
      <c r="A479" s="7">
        <v>33</v>
      </c>
    </row>
    <row r="480" spans="1:1" x14ac:dyDescent="0.35">
      <c r="A480" s="7">
        <v>49</v>
      </c>
    </row>
    <row r="481" spans="1:1" x14ac:dyDescent="0.35">
      <c r="A481" s="7">
        <v>60</v>
      </c>
    </row>
    <row r="482" spans="1:1" x14ac:dyDescent="0.35">
      <c r="A482" s="7">
        <v>41</v>
      </c>
    </row>
    <row r="483" spans="1:1" x14ac:dyDescent="0.35">
      <c r="A483" s="7">
        <v>12</v>
      </c>
    </row>
    <row r="484" spans="1:1" x14ac:dyDescent="0.35">
      <c r="A484" s="7">
        <v>77</v>
      </c>
    </row>
    <row r="485" spans="1:1" x14ac:dyDescent="0.35">
      <c r="A485" s="7">
        <v>37</v>
      </c>
    </row>
    <row r="486" spans="1:1" x14ac:dyDescent="0.35">
      <c r="A486" s="7">
        <v>114</v>
      </c>
    </row>
    <row r="487" spans="1:1" x14ac:dyDescent="0.35">
      <c r="A487" s="7">
        <v>48</v>
      </c>
    </row>
    <row r="488" spans="1:1" x14ac:dyDescent="0.35">
      <c r="A488" s="7">
        <v>17</v>
      </c>
    </row>
    <row r="489" spans="1:1" x14ac:dyDescent="0.35">
      <c r="A489" s="7">
        <v>47</v>
      </c>
    </row>
    <row r="490" spans="1:1" x14ac:dyDescent="0.35">
      <c r="A490" s="7">
        <v>56</v>
      </c>
    </row>
    <row r="491" spans="1:1" x14ac:dyDescent="0.35">
      <c r="A491" s="7">
        <v>45</v>
      </c>
    </row>
    <row r="492" spans="1:1" x14ac:dyDescent="0.35">
      <c r="A492" s="7">
        <v>17</v>
      </c>
    </row>
    <row r="493" spans="1:1" x14ac:dyDescent="0.35">
      <c r="A493" s="7">
        <v>20</v>
      </c>
    </row>
    <row r="494" spans="1:1" x14ac:dyDescent="0.35">
      <c r="A494" s="7">
        <v>95</v>
      </c>
    </row>
    <row r="495" spans="1:1" x14ac:dyDescent="0.35">
      <c r="A495" s="7">
        <v>31</v>
      </c>
    </row>
    <row r="496" spans="1:1" x14ac:dyDescent="0.35">
      <c r="A496" s="7">
        <v>113</v>
      </c>
    </row>
    <row r="497" spans="1:1" x14ac:dyDescent="0.35">
      <c r="A497" s="7">
        <v>118</v>
      </c>
    </row>
    <row r="498" spans="1:1" x14ac:dyDescent="0.35">
      <c r="A498" s="7">
        <v>54</v>
      </c>
    </row>
    <row r="499" spans="1:1" x14ac:dyDescent="0.35">
      <c r="A499" s="7">
        <v>111</v>
      </c>
    </row>
    <row r="500" spans="1:1" x14ac:dyDescent="0.35">
      <c r="A500" s="7">
        <v>74</v>
      </c>
    </row>
    <row r="501" spans="1:1" x14ac:dyDescent="0.35">
      <c r="A501" s="7">
        <v>60</v>
      </c>
    </row>
    <row r="502" spans="1:1" x14ac:dyDescent="0.35">
      <c r="A502" s="7">
        <v>27</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0000FF"/>
  </sheetPr>
  <dimension ref="A1:H9"/>
  <sheetViews>
    <sheetView zoomScale="145" zoomScaleNormal="145" workbookViewId="0"/>
  </sheetViews>
  <sheetFormatPr defaultRowHeight="14.5" x14ac:dyDescent="0.35"/>
  <cols>
    <col min="1" max="1" width="13.26953125" bestFit="1" customWidth="1"/>
    <col min="2" max="6" width="11.7265625" customWidth="1"/>
  </cols>
  <sheetData>
    <row r="1" spans="1:8" ht="58" x14ac:dyDescent="0.35">
      <c r="A1" s="1" t="s">
        <v>13</v>
      </c>
      <c r="B1" s="2"/>
      <c r="C1" s="2"/>
      <c r="D1" s="2"/>
      <c r="E1" s="2"/>
      <c r="F1" s="2"/>
      <c r="G1" s="2"/>
      <c r="H1" s="3"/>
    </row>
    <row r="3" spans="1:8" x14ac:dyDescent="0.35">
      <c r="A3" s="5"/>
      <c r="B3" s="6" t="s">
        <v>0</v>
      </c>
      <c r="C3" s="6" t="s">
        <v>1</v>
      </c>
      <c r="D3" s="6" t="s">
        <v>2</v>
      </c>
      <c r="E3" s="6" t="s">
        <v>5</v>
      </c>
      <c r="F3" s="6" t="s">
        <v>6</v>
      </c>
    </row>
    <row r="4" spans="1:8" x14ac:dyDescent="0.35">
      <c r="A4" s="6" t="s">
        <v>7</v>
      </c>
      <c r="B4" s="14">
        <v>1000</v>
      </c>
      <c r="C4" s="14">
        <f t="shared" ref="C4:F4" si="0">B4*(1+0.1)</f>
        <v>1100</v>
      </c>
      <c r="D4" s="14">
        <f t="shared" si="0"/>
        <v>1210</v>
      </c>
      <c r="E4" s="14">
        <f t="shared" si="0"/>
        <v>1331</v>
      </c>
      <c r="F4" s="14">
        <f t="shared" si="0"/>
        <v>1464.1000000000001</v>
      </c>
    </row>
    <row r="5" spans="1:8" x14ac:dyDescent="0.35">
      <c r="A5" s="11" t="s">
        <v>8</v>
      </c>
      <c r="B5" s="14">
        <v>291</v>
      </c>
      <c r="C5" s="14">
        <v>228</v>
      </c>
      <c r="D5" s="14">
        <v>140</v>
      </c>
      <c r="E5" s="14">
        <v>268</v>
      </c>
      <c r="F5" s="14">
        <v>217</v>
      </c>
    </row>
    <row r="6" spans="1:8" x14ac:dyDescent="0.35">
      <c r="A6" s="11" t="s">
        <v>9</v>
      </c>
      <c r="B6" s="14">
        <v>200</v>
      </c>
      <c r="C6" s="14">
        <v>124</v>
      </c>
      <c r="D6" s="14">
        <v>270</v>
      </c>
      <c r="E6" s="14">
        <v>140</v>
      </c>
      <c r="F6" s="14">
        <v>164</v>
      </c>
    </row>
    <row r="7" spans="1:8" x14ac:dyDescent="0.35">
      <c r="A7" s="11" t="s">
        <v>10</v>
      </c>
      <c r="B7" s="14">
        <v>235</v>
      </c>
      <c r="C7" s="14">
        <v>225</v>
      </c>
      <c r="D7" s="14">
        <v>103</v>
      </c>
      <c r="E7" s="14">
        <v>233</v>
      </c>
      <c r="F7" s="14">
        <v>257</v>
      </c>
    </row>
    <row r="8" spans="1:8" x14ac:dyDescent="0.35">
      <c r="A8" s="6" t="s">
        <v>11</v>
      </c>
      <c r="B8" s="15"/>
      <c r="C8" s="15"/>
      <c r="D8" s="15"/>
      <c r="E8" s="15"/>
      <c r="F8" s="15"/>
    </row>
    <row r="9" spans="1:8" x14ac:dyDescent="0.35">
      <c r="A9" s="6" t="s">
        <v>12</v>
      </c>
      <c r="B9" s="15"/>
      <c r="C9" s="15"/>
      <c r="D9" s="15"/>
      <c r="E9" s="15"/>
      <c r="F9" s="1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A1:H9"/>
  <sheetViews>
    <sheetView zoomScale="145" zoomScaleNormal="145" workbookViewId="0">
      <selection activeCell="C8" sqref="C8"/>
    </sheetView>
  </sheetViews>
  <sheetFormatPr defaultRowHeight="14.5" x14ac:dyDescent="0.35"/>
  <cols>
    <col min="1" max="1" width="13.26953125" bestFit="1" customWidth="1"/>
    <col min="2" max="6" width="11.7265625" customWidth="1"/>
  </cols>
  <sheetData>
    <row r="1" spans="1:8" ht="58" x14ac:dyDescent="0.35">
      <c r="A1" s="1" t="s">
        <v>13</v>
      </c>
      <c r="B1" s="2"/>
      <c r="C1" s="2"/>
      <c r="D1" s="2"/>
      <c r="E1" s="2"/>
      <c r="F1" s="2"/>
      <c r="G1" s="2"/>
      <c r="H1" s="3"/>
    </row>
    <row r="3" spans="1:8" x14ac:dyDescent="0.35">
      <c r="A3" s="5"/>
      <c r="B3" s="6" t="s">
        <v>0</v>
      </c>
      <c r="C3" s="6" t="s">
        <v>1</v>
      </c>
      <c r="D3" s="6" t="s">
        <v>2</v>
      </c>
      <c r="E3" s="6" t="s">
        <v>5</v>
      </c>
      <c r="F3" s="6" t="s">
        <v>6</v>
      </c>
    </row>
    <row r="4" spans="1:8" x14ac:dyDescent="0.35">
      <c r="A4" s="6" t="s">
        <v>7</v>
      </c>
      <c r="B4" s="14">
        <v>1000</v>
      </c>
      <c r="C4" s="14">
        <f t="shared" ref="C4:F4" si="0">B4*(1+0.1)</f>
        <v>1100</v>
      </c>
      <c r="D4" s="14">
        <f t="shared" si="0"/>
        <v>1210</v>
      </c>
      <c r="E4" s="14">
        <f t="shared" si="0"/>
        <v>1331</v>
      </c>
      <c r="F4" s="14">
        <f t="shared" si="0"/>
        <v>1464.1000000000001</v>
      </c>
    </row>
    <row r="5" spans="1:8" x14ac:dyDescent="0.35">
      <c r="A5" s="11" t="s">
        <v>8</v>
      </c>
      <c r="B5" s="14">
        <v>291</v>
      </c>
      <c r="C5" s="14">
        <v>228</v>
      </c>
      <c r="D5" s="14">
        <v>140</v>
      </c>
      <c r="E5" s="14">
        <v>268</v>
      </c>
      <c r="F5" s="14">
        <v>217</v>
      </c>
    </row>
    <row r="6" spans="1:8" x14ac:dyDescent="0.35">
      <c r="A6" s="11" t="s">
        <v>9</v>
      </c>
      <c r="B6" s="14">
        <v>200</v>
      </c>
      <c r="C6" s="14">
        <v>124</v>
      </c>
      <c r="D6" s="14">
        <v>270</v>
      </c>
      <c r="E6" s="14">
        <v>140</v>
      </c>
      <c r="F6" s="14">
        <v>164</v>
      </c>
    </row>
    <row r="7" spans="1:8" x14ac:dyDescent="0.35">
      <c r="A7" s="11" t="s">
        <v>10</v>
      </c>
      <c r="B7" s="14">
        <v>235</v>
      </c>
      <c r="C7" s="14">
        <v>225</v>
      </c>
      <c r="D7" s="14">
        <v>103</v>
      </c>
      <c r="E7" s="14">
        <v>233</v>
      </c>
      <c r="F7" s="14">
        <v>257</v>
      </c>
    </row>
    <row r="8" spans="1:8" x14ac:dyDescent="0.35">
      <c r="A8" s="6" t="s">
        <v>11</v>
      </c>
      <c r="B8" s="15">
        <f t="shared" ref="B8:F8" si="1">SUM(B5:B7)</f>
        <v>726</v>
      </c>
      <c r="C8" s="15">
        <f t="shared" si="1"/>
        <v>577</v>
      </c>
      <c r="D8" s="15">
        <f t="shared" si="1"/>
        <v>513</v>
      </c>
      <c r="E8" s="15">
        <f t="shared" si="1"/>
        <v>641</v>
      </c>
      <c r="F8" s="15">
        <f t="shared" si="1"/>
        <v>638</v>
      </c>
    </row>
    <row r="9" spans="1:8" x14ac:dyDescent="0.35">
      <c r="A9" s="6" t="s">
        <v>12</v>
      </c>
      <c r="B9" s="15">
        <f t="shared" ref="B9:F9" si="2">B4-B8</f>
        <v>274</v>
      </c>
      <c r="C9" s="15">
        <f t="shared" si="2"/>
        <v>523</v>
      </c>
      <c r="D9" s="15">
        <f t="shared" si="2"/>
        <v>697</v>
      </c>
      <c r="E9" s="15">
        <f t="shared" si="2"/>
        <v>690</v>
      </c>
      <c r="F9" s="15">
        <f t="shared" si="2"/>
        <v>826.10000000000014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0000FF"/>
  </sheetPr>
  <dimension ref="A1:H9"/>
  <sheetViews>
    <sheetView zoomScale="145" zoomScaleNormal="145" workbookViewId="0"/>
  </sheetViews>
  <sheetFormatPr defaultRowHeight="14.5" x14ac:dyDescent="0.35"/>
  <cols>
    <col min="2" max="4" width="15.7265625" bestFit="1" customWidth="1"/>
    <col min="5" max="5" width="9.453125" bestFit="1" customWidth="1"/>
  </cols>
  <sheetData>
    <row r="1" spans="1:8" x14ac:dyDescent="0.35">
      <c r="A1" s="1" t="s">
        <v>25</v>
      </c>
      <c r="B1" s="2"/>
      <c r="C1" s="2"/>
      <c r="D1" s="2"/>
      <c r="E1" s="2"/>
      <c r="F1" s="2"/>
      <c r="G1" s="2"/>
      <c r="H1" s="3"/>
    </row>
    <row r="3" spans="1:8" x14ac:dyDescent="0.35">
      <c r="A3" s="12" t="s">
        <v>14</v>
      </c>
      <c r="B3" s="12" t="s">
        <v>15</v>
      </c>
      <c r="C3" s="12" t="s">
        <v>16</v>
      </c>
      <c r="D3" s="12" t="s">
        <v>17</v>
      </c>
      <c r="E3" s="16" t="s">
        <v>24</v>
      </c>
    </row>
    <row r="4" spans="1:8" x14ac:dyDescent="0.35">
      <c r="A4" s="5" t="s">
        <v>18</v>
      </c>
      <c r="B4" s="5">
        <v>25</v>
      </c>
      <c r="C4" s="5">
        <v>33</v>
      </c>
      <c r="D4" s="5">
        <v>72</v>
      </c>
      <c r="E4" s="9"/>
    </row>
    <row r="5" spans="1:8" x14ac:dyDescent="0.35">
      <c r="A5" s="5" t="s">
        <v>19</v>
      </c>
      <c r="B5" s="5">
        <v>25</v>
      </c>
      <c r="C5" s="5">
        <v>79</v>
      </c>
      <c r="D5" s="5">
        <v>94</v>
      </c>
      <c r="E5" s="9"/>
    </row>
    <row r="6" spans="1:8" x14ac:dyDescent="0.35">
      <c r="A6" s="5" t="s">
        <v>20</v>
      </c>
      <c r="B6" s="5">
        <v>36</v>
      </c>
      <c r="C6" s="5">
        <v>48</v>
      </c>
      <c r="D6" s="5">
        <v>38</v>
      </c>
      <c r="E6" s="9"/>
    </row>
    <row r="7" spans="1:8" x14ac:dyDescent="0.35">
      <c r="A7" s="5" t="s">
        <v>21</v>
      </c>
      <c r="B7" s="5">
        <v>91</v>
      </c>
      <c r="C7" s="5">
        <v>36</v>
      </c>
      <c r="D7" s="5">
        <v>59</v>
      </c>
      <c r="E7" s="9"/>
    </row>
    <row r="8" spans="1:8" x14ac:dyDescent="0.35">
      <c r="A8" s="5" t="s">
        <v>22</v>
      </c>
      <c r="B8" s="5">
        <v>54</v>
      </c>
      <c r="C8" s="5">
        <v>67</v>
      </c>
      <c r="D8" s="5">
        <v>58</v>
      </c>
      <c r="E8" s="9"/>
    </row>
    <row r="9" spans="1:8" x14ac:dyDescent="0.35">
      <c r="A9" s="5" t="s">
        <v>23</v>
      </c>
      <c r="B9" s="5">
        <v>89</v>
      </c>
      <c r="C9" s="5">
        <v>95</v>
      </c>
      <c r="D9" s="5">
        <v>27</v>
      </c>
      <c r="E9" s="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rgb="FFFF0000"/>
  </sheetPr>
  <dimension ref="A1:H9"/>
  <sheetViews>
    <sheetView zoomScale="145" zoomScaleNormal="145" workbookViewId="0">
      <selection activeCell="C8" sqref="C8"/>
    </sheetView>
  </sheetViews>
  <sheetFormatPr defaultRowHeight="14.5" x14ac:dyDescent="0.35"/>
  <cols>
    <col min="2" max="4" width="15.7265625" bestFit="1" customWidth="1"/>
    <col min="5" max="5" width="9.453125" bestFit="1" customWidth="1"/>
  </cols>
  <sheetData>
    <row r="1" spans="1:8" x14ac:dyDescent="0.35">
      <c r="A1" s="1" t="s">
        <v>25</v>
      </c>
      <c r="B1" s="2"/>
      <c r="C1" s="2"/>
      <c r="D1" s="2"/>
      <c r="E1" s="2"/>
      <c r="F1" s="2"/>
      <c r="G1" s="2"/>
      <c r="H1" s="3"/>
    </row>
    <row r="3" spans="1:8" x14ac:dyDescent="0.35">
      <c r="A3" s="12" t="s">
        <v>14</v>
      </c>
      <c r="B3" s="12" t="s">
        <v>15</v>
      </c>
      <c r="C3" s="12" t="s">
        <v>16</v>
      </c>
      <c r="D3" s="12" t="s">
        <v>17</v>
      </c>
      <c r="E3" s="16" t="s">
        <v>24</v>
      </c>
    </row>
    <row r="4" spans="1:8" x14ac:dyDescent="0.35">
      <c r="A4" s="5" t="s">
        <v>18</v>
      </c>
      <c r="B4" s="5">
        <v>25</v>
      </c>
      <c r="C4" s="5">
        <v>33</v>
      </c>
      <c r="D4" s="5">
        <v>72</v>
      </c>
      <c r="E4" s="9">
        <f t="shared" ref="E4:E9" si="0">SUM(B4:D4)</f>
        <v>130</v>
      </c>
    </row>
    <row r="5" spans="1:8" x14ac:dyDescent="0.35">
      <c r="A5" s="5" t="s">
        <v>19</v>
      </c>
      <c r="B5" s="5">
        <v>25</v>
      </c>
      <c r="C5" s="5">
        <v>79</v>
      </c>
      <c r="D5" s="5">
        <v>94</v>
      </c>
      <c r="E5" s="9">
        <f t="shared" si="0"/>
        <v>198</v>
      </c>
    </row>
    <row r="6" spans="1:8" x14ac:dyDescent="0.35">
      <c r="A6" s="5" t="s">
        <v>20</v>
      </c>
      <c r="B6" s="5">
        <v>36</v>
      </c>
      <c r="C6" s="5">
        <v>48</v>
      </c>
      <c r="D6" s="5">
        <v>38</v>
      </c>
      <c r="E6" s="9">
        <f t="shared" si="0"/>
        <v>122</v>
      </c>
    </row>
    <row r="7" spans="1:8" x14ac:dyDescent="0.35">
      <c r="A7" s="5" t="s">
        <v>21</v>
      </c>
      <c r="B7" s="5">
        <v>91</v>
      </c>
      <c r="C7" s="5">
        <v>36</v>
      </c>
      <c r="D7" s="5">
        <v>59</v>
      </c>
      <c r="E7" s="9">
        <f t="shared" si="0"/>
        <v>186</v>
      </c>
    </row>
    <row r="8" spans="1:8" x14ac:dyDescent="0.35">
      <c r="A8" s="5" t="s">
        <v>22</v>
      </c>
      <c r="B8" s="5">
        <v>54</v>
      </c>
      <c r="C8" s="5">
        <v>67</v>
      </c>
      <c r="D8" s="5">
        <v>58</v>
      </c>
      <c r="E8" s="9">
        <f t="shared" si="0"/>
        <v>179</v>
      </c>
    </row>
    <row r="9" spans="1:8" x14ac:dyDescent="0.35">
      <c r="A9" s="5" t="s">
        <v>23</v>
      </c>
      <c r="B9" s="5">
        <v>89</v>
      </c>
      <c r="C9" s="5">
        <v>95</v>
      </c>
      <c r="D9" s="5">
        <v>27</v>
      </c>
      <c r="E9" s="9">
        <f t="shared" si="0"/>
        <v>211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rgb="FF0000FF"/>
  </sheetPr>
  <dimension ref="A1:H30"/>
  <sheetViews>
    <sheetView zoomScale="145" zoomScaleNormal="145" workbookViewId="0"/>
  </sheetViews>
  <sheetFormatPr defaultRowHeight="14.5" x14ac:dyDescent="0.35"/>
  <cols>
    <col min="1" max="1" width="10.7265625" bestFit="1" customWidth="1"/>
    <col min="5" max="6" width="10.1796875" bestFit="1" customWidth="1"/>
    <col min="8" max="8" width="10.453125" bestFit="1" customWidth="1"/>
  </cols>
  <sheetData>
    <row r="1" spans="1:8" x14ac:dyDescent="0.35">
      <c r="A1" s="1" t="s">
        <v>34</v>
      </c>
      <c r="B1" s="2"/>
      <c r="C1" s="2"/>
      <c r="D1" s="2"/>
      <c r="E1" s="2"/>
      <c r="F1" s="2"/>
      <c r="G1" s="2"/>
      <c r="H1" s="3"/>
    </row>
    <row r="3" spans="1:8" x14ac:dyDescent="0.35">
      <c r="A3" s="8" t="s">
        <v>26</v>
      </c>
      <c r="B3" s="8" t="s">
        <v>27</v>
      </c>
      <c r="C3" s="8" t="s">
        <v>28</v>
      </c>
      <c r="E3" s="8" t="s">
        <v>29</v>
      </c>
    </row>
    <row r="4" spans="1:8" x14ac:dyDescent="0.35">
      <c r="A4" s="17">
        <v>40255</v>
      </c>
      <c r="B4" s="5" t="s">
        <v>30</v>
      </c>
      <c r="C4" s="7">
        <v>73</v>
      </c>
      <c r="E4" s="10">
        <f>SUM(C4:C29)</f>
        <v>2764</v>
      </c>
    </row>
    <row r="5" spans="1:8" x14ac:dyDescent="0.35">
      <c r="A5" s="17">
        <v>40256</v>
      </c>
      <c r="B5" s="5" t="s">
        <v>31</v>
      </c>
      <c r="C5" s="7">
        <v>121</v>
      </c>
    </row>
    <row r="6" spans="1:8" x14ac:dyDescent="0.35">
      <c r="A6" s="17">
        <v>40257</v>
      </c>
      <c r="B6" s="5" t="s">
        <v>30</v>
      </c>
      <c r="C6" s="7">
        <v>167</v>
      </c>
    </row>
    <row r="7" spans="1:8" x14ac:dyDescent="0.35">
      <c r="A7" s="17">
        <v>40258</v>
      </c>
      <c r="B7" s="5" t="s">
        <v>32</v>
      </c>
      <c r="C7" s="7">
        <v>167</v>
      </c>
    </row>
    <row r="8" spans="1:8" x14ac:dyDescent="0.35">
      <c r="A8" s="17">
        <v>40259</v>
      </c>
      <c r="B8" s="5" t="s">
        <v>33</v>
      </c>
      <c r="C8" s="7">
        <v>75</v>
      </c>
    </row>
    <row r="9" spans="1:8" x14ac:dyDescent="0.35">
      <c r="A9" s="17">
        <v>40260</v>
      </c>
      <c r="B9" s="5" t="s">
        <v>30</v>
      </c>
      <c r="C9" s="7">
        <v>157</v>
      </c>
    </row>
    <row r="10" spans="1:8" x14ac:dyDescent="0.35">
      <c r="A10" s="17">
        <v>40261</v>
      </c>
      <c r="B10" s="5" t="s">
        <v>33</v>
      </c>
      <c r="C10" s="7">
        <v>61</v>
      </c>
    </row>
    <row r="11" spans="1:8" x14ac:dyDescent="0.35">
      <c r="A11" s="17">
        <v>40262</v>
      </c>
      <c r="B11" s="5" t="s">
        <v>30</v>
      </c>
      <c r="C11" s="7">
        <v>108</v>
      </c>
    </row>
    <row r="12" spans="1:8" x14ac:dyDescent="0.35">
      <c r="A12" s="17">
        <v>40263</v>
      </c>
      <c r="B12" s="5" t="s">
        <v>31</v>
      </c>
      <c r="C12" s="7">
        <v>139</v>
      </c>
    </row>
    <row r="13" spans="1:8" x14ac:dyDescent="0.35">
      <c r="A13" s="17">
        <v>40264</v>
      </c>
      <c r="B13" s="5" t="s">
        <v>18</v>
      </c>
      <c r="C13" s="7">
        <v>130</v>
      </c>
    </row>
    <row r="14" spans="1:8" x14ac:dyDescent="0.35">
      <c r="A14" s="17">
        <v>40265</v>
      </c>
      <c r="B14" s="5" t="s">
        <v>33</v>
      </c>
      <c r="C14" s="7">
        <v>66</v>
      </c>
    </row>
    <row r="15" spans="1:8" x14ac:dyDescent="0.35">
      <c r="A15" s="17">
        <v>40266</v>
      </c>
      <c r="B15" s="5" t="s">
        <v>18</v>
      </c>
      <c r="C15" s="7">
        <v>86</v>
      </c>
    </row>
    <row r="16" spans="1:8" x14ac:dyDescent="0.35">
      <c r="A16" s="17">
        <v>40267</v>
      </c>
      <c r="B16" s="5" t="s">
        <v>32</v>
      </c>
      <c r="C16" s="7">
        <v>122</v>
      </c>
    </row>
    <row r="17" spans="1:3" x14ac:dyDescent="0.35">
      <c r="A17" s="17">
        <v>40268</v>
      </c>
      <c r="B17" s="5" t="s">
        <v>18</v>
      </c>
      <c r="C17" s="7">
        <v>50</v>
      </c>
    </row>
    <row r="18" spans="1:3" x14ac:dyDescent="0.35">
      <c r="A18" s="17">
        <v>40269</v>
      </c>
      <c r="B18" s="5" t="s">
        <v>33</v>
      </c>
      <c r="C18" s="7">
        <v>77</v>
      </c>
    </row>
    <row r="19" spans="1:3" x14ac:dyDescent="0.35">
      <c r="A19" s="17">
        <v>40270</v>
      </c>
      <c r="B19" s="5" t="s">
        <v>30</v>
      </c>
      <c r="C19" s="7">
        <v>140</v>
      </c>
    </row>
    <row r="20" spans="1:3" x14ac:dyDescent="0.35">
      <c r="A20" s="17">
        <v>40271</v>
      </c>
      <c r="B20" s="5" t="s">
        <v>33</v>
      </c>
      <c r="C20" s="7">
        <v>107</v>
      </c>
    </row>
    <row r="21" spans="1:3" x14ac:dyDescent="0.35">
      <c r="A21" s="17">
        <v>40272</v>
      </c>
      <c r="B21" s="5" t="s">
        <v>18</v>
      </c>
      <c r="C21" s="7">
        <v>109</v>
      </c>
    </row>
    <row r="22" spans="1:3" x14ac:dyDescent="0.35">
      <c r="A22" s="17">
        <v>40273</v>
      </c>
      <c r="B22" s="5" t="s">
        <v>32</v>
      </c>
      <c r="C22" s="7">
        <v>121</v>
      </c>
    </row>
    <row r="23" spans="1:3" x14ac:dyDescent="0.35">
      <c r="A23" s="17">
        <v>40274</v>
      </c>
      <c r="B23" s="5" t="s">
        <v>30</v>
      </c>
      <c r="C23" s="7">
        <v>78</v>
      </c>
    </row>
    <row r="24" spans="1:3" x14ac:dyDescent="0.35">
      <c r="A24" s="17">
        <v>40275</v>
      </c>
      <c r="B24" s="5" t="s">
        <v>18</v>
      </c>
      <c r="C24" s="7">
        <v>168</v>
      </c>
    </row>
    <row r="25" spans="1:3" x14ac:dyDescent="0.35">
      <c r="A25" s="17">
        <v>40276</v>
      </c>
      <c r="B25" s="5" t="s">
        <v>31</v>
      </c>
      <c r="C25" s="7">
        <v>88</v>
      </c>
    </row>
    <row r="26" spans="1:3" x14ac:dyDescent="0.35">
      <c r="A26" s="17">
        <v>40277</v>
      </c>
      <c r="B26" s="5" t="s">
        <v>20</v>
      </c>
      <c r="C26" s="7">
        <v>110</v>
      </c>
    </row>
    <row r="27" spans="1:3" x14ac:dyDescent="0.35">
      <c r="A27" s="17">
        <v>40278</v>
      </c>
      <c r="B27" s="5" t="s">
        <v>20</v>
      </c>
      <c r="C27" s="7">
        <v>132</v>
      </c>
    </row>
    <row r="28" spans="1:3" x14ac:dyDescent="0.35">
      <c r="A28" s="17">
        <v>40279</v>
      </c>
      <c r="B28" s="5" t="s">
        <v>31</v>
      </c>
      <c r="C28" s="7">
        <v>54</v>
      </c>
    </row>
    <row r="29" spans="1:3" x14ac:dyDescent="0.35">
      <c r="A29" s="17">
        <v>40280</v>
      </c>
      <c r="B29" s="5" t="s">
        <v>30</v>
      </c>
      <c r="C29" s="7">
        <v>58</v>
      </c>
    </row>
    <row r="30" spans="1:3" x14ac:dyDescent="0.35">
      <c r="A30" s="17">
        <v>40281</v>
      </c>
      <c r="B30" s="5" t="s">
        <v>33</v>
      </c>
      <c r="C30" s="7">
        <v>71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tabColor rgb="FFFF0000"/>
  </sheetPr>
  <dimension ref="A1:H30"/>
  <sheetViews>
    <sheetView zoomScale="145" zoomScaleNormal="145" workbookViewId="0">
      <selection activeCell="C8" sqref="C8"/>
    </sheetView>
  </sheetViews>
  <sheetFormatPr defaultRowHeight="14.5" x14ac:dyDescent="0.35"/>
  <cols>
    <col min="1" max="1" width="9.81640625" bestFit="1" customWidth="1"/>
    <col min="5" max="6" width="10.1796875" bestFit="1" customWidth="1"/>
    <col min="8" max="8" width="10.453125" bestFit="1" customWidth="1"/>
  </cols>
  <sheetData>
    <row r="1" spans="1:8" x14ac:dyDescent="0.35">
      <c r="A1" s="1" t="s">
        <v>34</v>
      </c>
      <c r="B1" s="2"/>
      <c r="C1" s="2"/>
      <c r="D1" s="2"/>
      <c r="E1" s="2"/>
      <c r="F1" s="2"/>
      <c r="G1" s="2"/>
      <c r="H1" s="3"/>
    </row>
    <row r="3" spans="1:8" x14ac:dyDescent="0.35">
      <c r="A3" s="8" t="s">
        <v>26</v>
      </c>
      <c r="B3" s="8" t="s">
        <v>27</v>
      </c>
      <c r="C3" s="8" t="s">
        <v>28</v>
      </c>
      <c r="E3" s="8" t="s">
        <v>29</v>
      </c>
    </row>
    <row r="4" spans="1:8" x14ac:dyDescent="0.35">
      <c r="A4" s="17">
        <v>40255</v>
      </c>
      <c r="B4" s="5" t="s">
        <v>30</v>
      </c>
      <c r="C4" s="7">
        <v>73</v>
      </c>
      <c r="E4" s="10">
        <f>SUM(C4:C30)</f>
        <v>2835</v>
      </c>
    </row>
    <row r="5" spans="1:8" x14ac:dyDescent="0.35">
      <c r="A5" s="17">
        <v>40256</v>
      </c>
      <c r="B5" s="5" t="s">
        <v>31</v>
      </c>
      <c r="C5" s="7">
        <v>121</v>
      </c>
    </row>
    <row r="6" spans="1:8" x14ac:dyDescent="0.35">
      <c r="A6" s="17">
        <v>40257</v>
      </c>
      <c r="B6" s="5" t="s">
        <v>30</v>
      </c>
      <c r="C6" s="7">
        <v>167</v>
      </c>
    </row>
    <row r="7" spans="1:8" x14ac:dyDescent="0.35">
      <c r="A7" s="17">
        <v>40258</v>
      </c>
      <c r="B7" s="5" t="s">
        <v>32</v>
      </c>
      <c r="C7" s="7">
        <v>167</v>
      </c>
    </row>
    <row r="8" spans="1:8" x14ac:dyDescent="0.35">
      <c r="A8" s="17">
        <v>40259</v>
      </c>
      <c r="B8" s="5" t="s">
        <v>33</v>
      </c>
      <c r="C8" s="7">
        <v>75</v>
      </c>
    </row>
    <row r="9" spans="1:8" x14ac:dyDescent="0.35">
      <c r="A9" s="17">
        <v>40260</v>
      </c>
      <c r="B9" s="5" t="s">
        <v>30</v>
      </c>
      <c r="C9" s="7">
        <v>157</v>
      </c>
    </row>
    <row r="10" spans="1:8" x14ac:dyDescent="0.35">
      <c r="A10" s="17">
        <v>40261</v>
      </c>
      <c r="B10" s="5" t="s">
        <v>33</v>
      </c>
      <c r="C10" s="7">
        <v>61</v>
      </c>
    </row>
    <row r="11" spans="1:8" x14ac:dyDescent="0.35">
      <c r="A11" s="17">
        <v>40262</v>
      </c>
      <c r="B11" s="5" t="s">
        <v>30</v>
      </c>
      <c r="C11" s="7">
        <v>108</v>
      </c>
    </row>
    <row r="12" spans="1:8" x14ac:dyDescent="0.35">
      <c r="A12" s="17">
        <v>40263</v>
      </c>
      <c r="B12" s="5" t="s">
        <v>31</v>
      </c>
      <c r="C12" s="7">
        <v>139</v>
      </c>
    </row>
    <row r="13" spans="1:8" x14ac:dyDescent="0.35">
      <c r="A13" s="17">
        <v>40264</v>
      </c>
      <c r="B13" s="5" t="s">
        <v>18</v>
      </c>
      <c r="C13" s="7">
        <v>130</v>
      </c>
    </row>
    <row r="14" spans="1:8" x14ac:dyDescent="0.35">
      <c r="A14" s="17">
        <v>40265</v>
      </c>
      <c r="B14" s="5" t="s">
        <v>33</v>
      </c>
      <c r="C14" s="7">
        <v>66</v>
      </c>
    </row>
    <row r="15" spans="1:8" x14ac:dyDescent="0.35">
      <c r="A15" s="17">
        <v>40266</v>
      </c>
      <c r="B15" s="5" t="s">
        <v>18</v>
      </c>
      <c r="C15" s="7">
        <v>86</v>
      </c>
    </row>
    <row r="16" spans="1:8" x14ac:dyDescent="0.35">
      <c r="A16" s="17">
        <v>40267</v>
      </c>
      <c r="B16" s="5" t="s">
        <v>32</v>
      </c>
      <c r="C16" s="7">
        <v>122</v>
      </c>
    </row>
    <row r="17" spans="1:3" x14ac:dyDescent="0.35">
      <c r="A17" s="17">
        <v>40268</v>
      </c>
      <c r="B17" s="5" t="s">
        <v>18</v>
      </c>
      <c r="C17" s="7">
        <v>50</v>
      </c>
    </row>
    <row r="18" spans="1:3" x14ac:dyDescent="0.35">
      <c r="A18" s="17">
        <v>40269</v>
      </c>
      <c r="B18" s="5" t="s">
        <v>33</v>
      </c>
      <c r="C18" s="7">
        <v>77</v>
      </c>
    </row>
    <row r="19" spans="1:3" x14ac:dyDescent="0.35">
      <c r="A19" s="17">
        <v>40270</v>
      </c>
      <c r="B19" s="5" t="s">
        <v>30</v>
      </c>
      <c r="C19" s="7">
        <v>140</v>
      </c>
    </row>
    <row r="20" spans="1:3" x14ac:dyDescent="0.35">
      <c r="A20" s="17">
        <v>40271</v>
      </c>
      <c r="B20" s="5" t="s">
        <v>33</v>
      </c>
      <c r="C20" s="7">
        <v>107</v>
      </c>
    </row>
    <row r="21" spans="1:3" x14ac:dyDescent="0.35">
      <c r="A21" s="17">
        <v>40272</v>
      </c>
      <c r="B21" s="5" t="s">
        <v>18</v>
      </c>
      <c r="C21" s="7">
        <v>109</v>
      </c>
    </row>
    <row r="22" spans="1:3" x14ac:dyDescent="0.35">
      <c r="A22" s="17">
        <v>40273</v>
      </c>
      <c r="B22" s="5" t="s">
        <v>32</v>
      </c>
      <c r="C22" s="7">
        <v>121</v>
      </c>
    </row>
    <row r="23" spans="1:3" x14ac:dyDescent="0.35">
      <c r="A23" s="17">
        <v>40274</v>
      </c>
      <c r="B23" s="5" t="s">
        <v>30</v>
      </c>
      <c r="C23" s="7">
        <v>78</v>
      </c>
    </row>
    <row r="24" spans="1:3" x14ac:dyDescent="0.35">
      <c r="A24" s="17">
        <v>40275</v>
      </c>
      <c r="B24" s="5" t="s">
        <v>18</v>
      </c>
      <c r="C24" s="7">
        <v>168</v>
      </c>
    </row>
    <row r="25" spans="1:3" x14ac:dyDescent="0.35">
      <c r="A25" s="17">
        <v>40276</v>
      </c>
      <c r="B25" s="5" t="s">
        <v>31</v>
      </c>
      <c r="C25" s="7">
        <v>88</v>
      </c>
    </row>
    <row r="26" spans="1:3" x14ac:dyDescent="0.35">
      <c r="A26" s="17">
        <v>40277</v>
      </c>
      <c r="B26" s="5" t="s">
        <v>20</v>
      </c>
      <c r="C26" s="7">
        <v>110</v>
      </c>
    </row>
    <row r="27" spans="1:3" x14ac:dyDescent="0.35">
      <c r="A27" s="17">
        <v>40278</v>
      </c>
      <c r="B27" s="5" t="s">
        <v>20</v>
      </c>
      <c r="C27" s="7">
        <v>132</v>
      </c>
    </row>
    <row r="28" spans="1:3" x14ac:dyDescent="0.35">
      <c r="A28" s="17">
        <v>40279</v>
      </c>
      <c r="B28" s="5" t="s">
        <v>31</v>
      </c>
      <c r="C28" s="7">
        <v>54</v>
      </c>
    </row>
    <row r="29" spans="1:3" x14ac:dyDescent="0.35">
      <c r="A29" s="17">
        <v>40280</v>
      </c>
      <c r="B29" s="5" t="s">
        <v>30</v>
      </c>
      <c r="C29" s="7">
        <v>58</v>
      </c>
    </row>
    <row r="30" spans="1:3" x14ac:dyDescent="0.35">
      <c r="A30" s="17">
        <v>40281</v>
      </c>
      <c r="B30" s="5" t="s">
        <v>33</v>
      </c>
      <c r="C30" s="7">
        <v>71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7">
    <tabColor rgb="FF0000FF"/>
  </sheetPr>
  <dimension ref="A1:H14"/>
  <sheetViews>
    <sheetView topLeftCell="A5" zoomScale="130" zoomScaleNormal="130" workbookViewId="0"/>
  </sheetViews>
  <sheetFormatPr defaultRowHeight="14.5" x14ac:dyDescent="0.35"/>
  <cols>
    <col min="1" max="1" width="22.1796875" bestFit="1" customWidth="1"/>
    <col min="2" max="2" width="20" customWidth="1"/>
    <col min="8" max="8" width="10.453125" bestFit="1" customWidth="1"/>
  </cols>
  <sheetData>
    <row r="1" spans="1:8" ht="43.5" x14ac:dyDescent="0.35">
      <c r="A1" s="1" t="s">
        <v>46</v>
      </c>
      <c r="B1" s="2"/>
      <c r="C1" s="2"/>
      <c r="D1" s="2"/>
      <c r="E1" s="2"/>
      <c r="F1" s="2"/>
      <c r="G1" s="2"/>
      <c r="H1" s="3"/>
    </row>
    <row r="3" spans="1:8" x14ac:dyDescent="0.35">
      <c r="A3" s="8" t="s">
        <v>40</v>
      </c>
      <c r="B3" s="17">
        <v>40620</v>
      </c>
    </row>
    <row r="4" spans="1:8" x14ac:dyDescent="0.35">
      <c r="A4" s="8" t="s">
        <v>41</v>
      </c>
      <c r="B4" s="17">
        <v>40644</v>
      </c>
    </row>
    <row r="5" spans="1:8" x14ac:dyDescent="0.35">
      <c r="A5" s="8" t="s">
        <v>42</v>
      </c>
      <c r="B5" s="9"/>
    </row>
    <row r="7" spans="1:8" x14ac:dyDescent="0.35">
      <c r="A7" s="8" t="s">
        <v>36</v>
      </c>
      <c r="B7" s="7">
        <v>10500</v>
      </c>
    </row>
    <row r="8" spans="1:8" x14ac:dyDescent="0.35">
      <c r="A8" s="8" t="s">
        <v>37</v>
      </c>
      <c r="B8" s="17">
        <v>40255</v>
      </c>
    </row>
    <row r="9" spans="1:8" x14ac:dyDescent="0.35">
      <c r="A9" s="8" t="s">
        <v>39</v>
      </c>
      <c r="B9" s="5">
        <v>75</v>
      </c>
    </row>
    <row r="10" spans="1:8" x14ac:dyDescent="0.35">
      <c r="A10" s="8" t="s">
        <v>38</v>
      </c>
      <c r="B10" s="9"/>
    </row>
    <row r="12" spans="1:8" x14ac:dyDescent="0.35">
      <c r="A12" s="8" t="s">
        <v>44</v>
      </c>
      <c r="B12" s="17">
        <f>B13+4</f>
        <v>40620</v>
      </c>
    </row>
    <row r="13" spans="1:8" x14ac:dyDescent="0.35">
      <c r="A13" s="8" t="s">
        <v>43</v>
      </c>
      <c r="B13" s="17">
        <v>40616</v>
      </c>
    </row>
    <row r="14" spans="1:8" x14ac:dyDescent="0.35">
      <c r="A14" s="8" t="s">
        <v>45</v>
      </c>
      <c r="B14" s="9"/>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8">
    <tabColor rgb="FFFF0000"/>
  </sheetPr>
  <dimension ref="A1:H14"/>
  <sheetViews>
    <sheetView zoomScale="130" zoomScaleNormal="130" workbookViewId="0">
      <selection activeCell="C8" sqref="C8"/>
    </sheetView>
  </sheetViews>
  <sheetFormatPr defaultRowHeight="14.5" x14ac:dyDescent="0.35"/>
  <cols>
    <col min="1" max="1" width="22.1796875" bestFit="1" customWidth="1"/>
    <col min="2" max="2" width="20" customWidth="1"/>
    <col min="8" max="8" width="10.453125" bestFit="1" customWidth="1"/>
  </cols>
  <sheetData>
    <row r="1" spans="1:8" ht="43.5" x14ac:dyDescent="0.35">
      <c r="A1" s="1" t="s">
        <v>46</v>
      </c>
      <c r="B1" s="2"/>
      <c r="C1" s="2"/>
      <c r="D1" s="2"/>
      <c r="E1" s="2"/>
      <c r="F1" s="2"/>
      <c r="G1" s="2"/>
      <c r="H1" s="3"/>
    </row>
    <row r="3" spans="1:8" x14ac:dyDescent="0.35">
      <c r="A3" s="8" t="s">
        <v>40</v>
      </c>
      <c r="B3" s="17">
        <v>40620</v>
      </c>
    </row>
    <row r="4" spans="1:8" x14ac:dyDescent="0.35">
      <c r="A4" s="8" t="s">
        <v>41</v>
      </c>
      <c r="B4" s="17">
        <v>40644</v>
      </c>
    </row>
    <row r="5" spans="1:8" x14ac:dyDescent="0.35">
      <c r="A5" s="8" t="s">
        <v>42</v>
      </c>
      <c r="B5" s="9">
        <f>B4-B3</f>
        <v>24</v>
      </c>
    </row>
    <row r="7" spans="1:8" x14ac:dyDescent="0.35">
      <c r="A7" s="8" t="s">
        <v>36</v>
      </c>
      <c r="B7" s="7">
        <v>10500</v>
      </c>
    </row>
    <row r="8" spans="1:8" x14ac:dyDescent="0.35">
      <c r="A8" s="8" t="s">
        <v>37</v>
      </c>
      <c r="B8" s="17">
        <v>40255</v>
      </c>
    </row>
    <row r="9" spans="1:8" x14ac:dyDescent="0.35">
      <c r="A9" s="8" t="s">
        <v>39</v>
      </c>
      <c r="B9" s="5">
        <v>75</v>
      </c>
    </row>
    <row r="10" spans="1:8" x14ac:dyDescent="0.35">
      <c r="A10" s="8" t="s">
        <v>38</v>
      </c>
      <c r="B10" s="18">
        <f>B8+B9</f>
        <v>40330</v>
      </c>
    </row>
    <row r="12" spans="1:8" x14ac:dyDescent="0.35">
      <c r="A12" s="8" t="s">
        <v>44</v>
      </c>
      <c r="B12" s="17">
        <f>B13+4</f>
        <v>40620</v>
      </c>
    </row>
    <row r="13" spans="1:8" x14ac:dyDescent="0.35">
      <c r="A13" s="8" t="s">
        <v>43</v>
      </c>
      <c r="B13" s="17">
        <v>40616</v>
      </c>
    </row>
    <row r="14" spans="1:8" x14ac:dyDescent="0.35">
      <c r="A14" s="8" t="s">
        <v>45</v>
      </c>
      <c r="B14" s="9">
        <f>B12-B13</f>
        <v>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9">
    <tabColor rgb="FF0000FF"/>
  </sheetPr>
  <dimension ref="A1:H11"/>
  <sheetViews>
    <sheetView workbookViewId="0"/>
  </sheetViews>
  <sheetFormatPr defaultRowHeight="14.5" x14ac:dyDescent="0.35"/>
  <cols>
    <col min="1" max="1" width="6.81640625" bestFit="1" customWidth="1"/>
    <col min="2" max="3" width="9.81640625" customWidth="1"/>
    <col min="4" max="4" width="11.26953125" customWidth="1"/>
    <col min="6" max="6" width="12.26953125" customWidth="1"/>
    <col min="8" max="8" width="10.453125" bestFit="1" customWidth="1"/>
  </cols>
  <sheetData>
    <row r="1" spans="1:8" x14ac:dyDescent="0.35">
      <c r="A1" s="1" t="s">
        <v>61</v>
      </c>
      <c r="B1" s="2"/>
      <c r="C1" s="2"/>
      <c r="D1" s="2"/>
      <c r="E1" s="2"/>
      <c r="F1" s="2"/>
      <c r="G1" s="2"/>
      <c r="H1" s="3"/>
    </row>
    <row r="3" spans="1:8" ht="43.5" x14ac:dyDescent="0.35">
      <c r="A3" s="19" t="s">
        <v>47</v>
      </c>
      <c r="B3" s="19" t="s">
        <v>59</v>
      </c>
      <c r="C3" s="19" t="s">
        <v>60</v>
      </c>
      <c r="D3" s="19" t="s">
        <v>48</v>
      </c>
      <c r="E3" s="19" t="s">
        <v>49</v>
      </c>
      <c r="F3" s="19" t="s">
        <v>50</v>
      </c>
    </row>
    <row r="4" spans="1:8" x14ac:dyDescent="0.35">
      <c r="A4" s="5" t="s">
        <v>51</v>
      </c>
      <c r="B4" s="20">
        <v>0.39333333333333331</v>
      </c>
      <c r="C4" s="20">
        <v>0.89333333333333331</v>
      </c>
      <c r="D4" s="9"/>
      <c r="E4" s="7">
        <v>19</v>
      </c>
      <c r="F4" s="9"/>
    </row>
    <row r="5" spans="1:8" x14ac:dyDescent="0.35">
      <c r="A5" s="5" t="s">
        <v>52</v>
      </c>
      <c r="B5" s="20">
        <v>0.40333333333333332</v>
      </c>
      <c r="C5" s="20">
        <v>0.60333333333333328</v>
      </c>
      <c r="D5" s="9"/>
      <c r="E5" s="7">
        <v>15</v>
      </c>
      <c r="F5" s="9"/>
    </row>
    <row r="6" spans="1:8" x14ac:dyDescent="0.35">
      <c r="A6" s="5" t="s">
        <v>53</v>
      </c>
      <c r="B6" s="20">
        <v>0.3833333333333333</v>
      </c>
      <c r="C6" s="20">
        <v>0.68333333333333335</v>
      </c>
      <c r="D6" s="9"/>
      <c r="E6" s="7">
        <v>18</v>
      </c>
      <c r="F6" s="9"/>
    </row>
    <row r="7" spans="1:8" x14ac:dyDescent="0.35">
      <c r="A7" s="5" t="s">
        <v>54</v>
      </c>
      <c r="B7" s="20">
        <v>0.42333333333333334</v>
      </c>
      <c r="C7" s="20">
        <v>0.62333333333333329</v>
      </c>
      <c r="D7" s="9"/>
      <c r="E7" s="7">
        <v>16</v>
      </c>
      <c r="F7" s="9"/>
    </row>
    <row r="8" spans="1:8" x14ac:dyDescent="0.35">
      <c r="A8" s="5" t="s">
        <v>55</v>
      </c>
      <c r="B8" s="20">
        <v>0.3833333333333333</v>
      </c>
      <c r="C8" s="20">
        <v>0.78333333333333333</v>
      </c>
      <c r="D8" s="9"/>
      <c r="E8" s="7">
        <v>11</v>
      </c>
      <c r="F8" s="9"/>
    </row>
    <row r="9" spans="1:8" x14ac:dyDescent="0.35">
      <c r="A9" s="5" t="s">
        <v>56</v>
      </c>
      <c r="B9" s="20">
        <v>0.39333333333333331</v>
      </c>
      <c r="C9" s="20">
        <v>0.59333333333333327</v>
      </c>
      <c r="D9" s="9"/>
      <c r="E9" s="7">
        <v>14</v>
      </c>
      <c r="F9" s="9"/>
    </row>
    <row r="10" spans="1:8" x14ac:dyDescent="0.35">
      <c r="A10" s="5" t="s">
        <v>57</v>
      </c>
      <c r="B10" s="20">
        <v>0.37333333333333329</v>
      </c>
      <c r="C10" s="20">
        <v>0.77333333333333332</v>
      </c>
      <c r="D10" s="9"/>
      <c r="E10" s="7">
        <v>17</v>
      </c>
      <c r="F10" s="9"/>
    </row>
    <row r="11" spans="1:8" x14ac:dyDescent="0.35">
      <c r="A11" s="5" t="s">
        <v>58</v>
      </c>
      <c r="B11" s="20">
        <v>0.36333333333333329</v>
      </c>
      <c r="C11" s="20">
        <v>0.66333333333333333</v>
      </c>
      <c r="D11" s="9"/>
      <c r="E11" s="7">
        <v>17</v>
      </c>
      <c r="F11" s="9"/>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0">
    <tabColor rgb="FFFF0000"/>
  </sheetPr>
  <dimension ref="A1:H11"/>
  <sheetViews>
    <sheetView workbookViewId="0">
      <selection activeCell="C8" sqref="C8"/>
    </sheetView>
  </sheetViews>
  <sheetFormatPr defaultRowHeight="14.5" x14ac:dyDescent="0.35"/>
  <cols>
    <col min="1" max="1" width="6.81640625" bestFit="1" customWidth="1"/>
    <col min="2" max="3" width="9.81640625" customWidth="1"/>
    <col min="4" max="4" width="11.26953125" customWidth="1"/>
    <col min="6" max="6" width="12.26953125" customWidth="1"/>
    <col min="8" max="8" width="10.453125" bestFit="1" customWidth="1"/>
  </cols>
  <sheetData>
    <row r="1" spans="1:8" x14ac:dyDescent="0.35">
      <c r="A1" s="1" t="s">
        <v>61</v>
      </c>
      <c r="B1" s="2"/>
      <c r="C1" s="2"/>
      <c r="D1" s="2"/>
      <c r="E1" s="2"/>
      <c r="F1" s="2"/>
      <c r="G1" s="2"/>
      <c r="H1" s="3"/>
    </row>
    <row r="3" spans="1:8" ht="43.5" x14ac:dyDescent="0.35">
      <c r="A3" s="19" t="s">
        <v>47</v>
      </c>
      <c r="B3" s="19" t="s">
        <v>59</v>
      </c>
      <c r="C3" s="19" t="s">
        <v>60</v>
      </c>
      <c r="D3" s="19" t="s">
        <v>48</v>
      </c>
      <c r="E3" s="19" t="s">
        <v>49</v>
      </c>
      <c r="F3" s="19" t="s">
        <v>50</v>
      </c>
    </row>
    <row r="4" spans="1:8" x14ac:dyDescent="0.35">
      <c r="A4" s="5" t="s">
        <v>51</v>
      </c>
      <c r="B4" s="20">
        <v>0.39333333333333331</v>
      </c>
      <c r="C4" s="20">
        <v>0.89333333333333331</v>
      </c>
      <c r="D4" s="9">
        <f>(C4-B4)*24</f>
        <v>12</v>
      </c>
      <c r="E4" s="7">
        <v>19</v>
      </c>
      <c r="F4" s="10">
        <f>E4*D4</f>
        <v>228</v>
      </c>
    </row>
    <row r="5" spans="1:8" x14ac:dyDescent="0.35">
      <c r="A5" s="5" t="s">
        <v>52</v>
      </c>
      <c r="B5" s="20">
        <v>0.40333333333333332</v>
      </c>
      <c r="C5" s="20">
        <v>0.60333333333333328</v>
      </c>
      <c r="D5" s="9">
        <f t="shared" ref="D5:D11" si="0">(C5-B5)*24</f>
        <v>4.7999999999999989</v>
      </c>
      <c r="E5" s="7">
        <v>15</v>
      </c>
      <c r="F5" s="10">
        <f t="shared" ref="F5:F11" si="1">E5*D5</f>
        <v>71.999999999999986</v>
      </c>
    </row>
    <row r="6" spans="1:8" x14ac:dyDescent="0.35">
      <c r="A6" s="5" t="s">
        <v>53</v>
      </c>
      <c r="B6" s="20">
        <v>0.3833333333333333</v>
      </c>
      <c r="C6" s="20">
        <v>0.68333333333333335</v>
      </c>
      <c r="D6" s="9">
        <f t="shared" si="0"/>
        <v>7.2000000000000011</v>
      </c>
      <c r="E6" s="7">
        <v>18</v>
      </c>
      <c r="F6" s="10">
        <f t="shared" si="1"/>
        <v>129.60000000000002</v>
      </c>
    </row>
    <row r="7" spans="1:8" x14ac:dyDescent="0.35">
      <c r="A7" s="5" t="s">
        <v>54</v>
      </c>
      <c r="B7" s="20">
        <v>0.42333333333333334</v>
      </c>
      <c r="C7" s="20">
        <v>0.62333333333333329</v>
      </c>
      <c r="D7" s="9">
        <f t="shared" si="0"/>
        <v>4.7999999999999989</v>
      </c>
      <c r="E7" s="7">
        <v>16</v>
      </c>
      <c r="F7" s="10">
        <f t="shared" si="1"/>
        <v>76.799999999999983</v>
      </c>
    </row>
    <row r="8" spans="1:8" x14ac:dyDescent="0.35">
      <c r="A8" s="5" t="s">
        <v>55</v>
      </c>
      <c r="B8" s="20">
        <v>0.3833333333333333</v>
      </c>
      <c r="C8" s="20">
        <v>0.78333333333333333</v>
      </c>
      <c r="D8" s="9">
        <f t="shared" si="0"/>
        <v>9.6000000000000014</v>
      </c>
      <c r="E8" s="7">
        <v>11</v>
      </c>
      <c r="F8" s="10">
        <f t="shared" si="1"/>
        <v>105.60000000000002</v>
      </c>
    </row>
    <row r="9" spans="1:8" x14ac:dyDescent="0.35">
      <c r="A9" s="5" t="s">
        <v>56</v>
      </c>
      <c r="B9" s="20">
        <v>0.39333333333333331</v>
      </c>
      <c r="C9" s="20">
        <v>0.59333333333333327</v>
      </c>
      <c r="D9" s="9">
        <f t="shared" si="0"/>
        <v>4.7999999999999989</v>
      </c>
      <c r="E9" s="7">
        <v>14</v>
      </c>
      <c r="F9" s="10">
        <f t="shared" si="1"/>
        <v>67.199999999999989</v>
      </c>
    </row>
    <row r="10" spans="1:8" x14ac:dyDescent="0.35">
      <c r="A10" s="5" t="s">
        <v>57</v>
      </c>
      <c r="B10" s="20">
        <v>0.37333333333333329</v>
      </c>
      <c r="C10" s="20">
        <v>0.77333333333333332</v>
      </c>
      <c r="D10" s="9">
        <f t="shared" si="0"/>
        <v>9.6000000000000014</v>
      </c>
      <c r="E10" s="7">
        <v>17</v>
      </c>
      <c r="F10" s="10">
        <f t="shared" si="1"/>
        <v>163.20000000000002</v>
      </c>
    </row>
    <row r="11" spans="1:8" x14ac:dyDescent="0.35">
      <c r="A11" s="5" t="s">
        <v>58</v>
      </c>
      <c r="B11" s="20">
        <v>0.36333333333333329</v>
      </c>
      <c r="C11" s="20">
        <v>0.66333333333333333</v>
      </c>
      <c r="D11" s="9">
        <f t="shared" si="0"/>
        <v>7.2000000000000011</v>
      </c>
      <c r="E11" s="7">
        <v>17</v>
      </c>
      <c r="F11" s="10">
        <f t="shared" si="1"/>
        <v>122.40000000000002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1">
    <tabColor rgb="FF0000FF"/>
  </sheetPr>
  <dimension ref="A1:D11"/>
  <sheetViews>
    <sheetView zoomScale="145" zoomScaleNormal="145" workbookViewId="0"/>
  </sheetViews>
  <sheetFormatPr defaultRowHeight="14.5" x14ac:dyDescent="0.35"/>
  <cols>
    <col min="1" max="1" width="11.7265625" customWidth="1"/>
    <col min="2" max="2" width="9.81640625" customWidth="1"/>
    <col min="3" max="3" width="2.7265625" customWidth="1"/>
    <col min="4" max="4" width="61.7265625" customWidth="1"/>
    <col min="6" max="6" width="12.26953125" customWidth="1"/>
    <col min="8" max="8" width="10.453125" bestFit="1" customWidth="1"/>
  </cols>
  <sheetData>
    <row r="1" spans="1:4" x14ac:dyDescent="0.35">
      <c r="A1" s="1" t="s">
        <v>69</v>
      </c>
      <c r="B1" s="2"/>
      <c r="C1" s="2"/>
      <c r="D1" s="2"/>
    </row>
    <row r="4" spans="1:4" x14ac:dyDescent="0.35">
      <c r="A4" s="12" t="s">
        <v>62</v>
      </c>
      <c r="B4" s="21">
        <v>1.4500000000000001E-2</v>
      </c>
      <c r="D4" s="24" t="str">
        <f>" &lt;&lt;== This percentage should read "&amp;TEXT(B4,"0.00%")&amp;". Fix the problem"</f>
        <v xml:space="preserve"> &lt;&lt;== This percentage should read 1.45%. Fix the problem</v>
      </c>
    </row>
    <row r="5" spans="1:4" x14ac:dyDescent="0.35">
      <c r="A5" s="12" t="s">
        <v>63</v>
      </c>
      <c r="B5" s="21">
        <v>2</v>
      </c>
      <c r="D5" s="24" t="str">
        <f>" &lt;&lt;== This percentage should read "&amp;TEXT(B5/100,"0.00%")&amp;". Fix the problem"</f>
        <v xml:space="preserve"> &lt;&lt;== This percentage should read 2.00%. Fix the problem</v>
      </c>
    </row>
    <row r="6" spans="1:4" x14ac:dyDescent="0.35">
      <c r="A6" s="12" t="s">
        <v>64</v>
      </c>
      <c r="B6" s="5">
        <v>0.14499999999999999</v>
      </c>
      <c r="D6" s="24" t="str">
        <f>" &lt;&lt;== This number should be formatted to show "&amp;TEXT(B6,"0.00%")&amp;". Fix the problem"</f>
        <v xml:space="preserve"> &lt;&lt;== This number should be formatted to show 14.50%. Fix the problem</v>
      </c>
    </row>
    <row r="7" spans="1:4" x14ac:dyDescent="0.35">
      <c r="A7" s="12" t="s">
        <v>65</v>
      </c>
      <c r="B7" s="5">
        <v>2</v>
      </c>
      <c r="D7" s="24" t="str">
        <f>" &lt;&lt;== This number should be formatted to show "&amp;TEXT(B7/100,"0.00%")&amp;". Fix the problem"</f>
        <v xml:space="preserve"> &lt;&lt;== This number should be formatted to show 2.00%. Fix the problem</v>
      </c>
    </row>
    <row r="8" spans="1:4" x14ac:dyDescent="0.35">
      <c r="A8" s="12" t="s">
        <v>66</v>
      </c>
      <c r="B8" s="23">
        <v>1.4500000000000001E-2</v>
      </c>
      <c r="D8" s="24" t="str">
        <f t="shared" ref="D8:D10" si="0">" &lt;&lt;== This percentage should read "&amp;TEXT(B8,"0.00%")&amp;". Fix the problem"</f>
        <v xml:space="preserve"> &lt;&lt;== This percentage should read 1.45%. Fix the problem</v>
      </c>
    </row>
    <row r="9" spans="1:4" x14ac:dyDescent="0.35">
      <c r="A9" s="12" t="s">
        <v>67</v>
      </c>
      <c r="B9" s="21">
        <v>5.9799999999999999E-2</v>
      </c>
      <c r="D9" s="24" t="str">
        <f t="shared" si="0"/>
        <v xml:space="preserve"> &lt;&lt;== This percentage should read 5.98%. Fix the problem</v>
      </c>
    </row>
    <row r="10" spans="1:4" x14ac:dyDescent="0.35">
      <c r="A10" s="12" t="s">
        <v>68</v>
      </c>
      <c r="B10" s="21">
        <v>0.1459</v>
      </c>
      <c r="D10" s="24" t="str">
        <f t="shared" si="0"/>
        <v xml:space="preserve"> &lt;&lt;== This percentage should read 14.59%. Fix the problem</v>
      </c>
    </row>
    <row r="11" spans="1:4" x14ac:dyDescent="0.35">
      <c r="A11" s="12" t="s">
        <v>70</v>
      </c>
      <c r="B11" s="21">
        <v>15</v>
      </c>
      <c r="D11" s="24" t="str">
        <f>" &lt;&lt;== This percentage should read "&amp;TEXT(B11/10,"0%")&amp;". Fix the problem"</f>
        <v xml:space="preserve"> &lt;&lt;== This percentage should read 150%. Fix the problem</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2">
    <tabColor rgb="FFFF0000"/>
  </sheetPr>
  <dimension ref="A1:D11"/>
  <sheetViews>
    <sheetView zoomScale="130" zoomScaleNormal="130" workbookViewId="0">
      <selection activeCell="C8" sqref="C8"/>
    </sheetView>
  </sheetViews>
  <sheetFormatPr defaultRowHeight="14.5" x14ac:dyDescent="0.35"/>
  <cols>
    <col min="1" max="1" width="11.7265625" customWidth="1"/>
    <col min="2" max="2" width="9.81640625" customWidth="1"/>
    <col min="3" max="3" width="2.7265625" customWidth="1"/>
    <col min="4" max="4" width="70.26953125" bestFit="1" customWidth="1"/>
    <col min="6" max="6" width="12.26953125" customWidth="1"/>
    <col min="8" max="8" width="10.453125" bestFit="1" customWidth="1"/>
  </cols>
  <sheetData>
    <row r="1" spans="1:4" x14ac:dyDescent="0.35">
      <c r="A1" s="1" t="s">
        <v>69</v>
      </c>
      <c r="B1" s="2"/>
      <c r="C1" s="2"/>
      <c r="D1" s="2"/>
    </row>
    <row r="4" spans="1:4" x14ac:dyDescent="0.35">
      <c r="A4" s="12" t="s">
        <v>62</v>
      </c>
      <c r="B4" s="22">
        <v>1.4500000000000001E-2</v>
      </c>
      <c r="D4" s="24" t="s">
        <v>74</v>
      </c>
    </row>
    <row r="5" spans="1:4" x14ac:dyDescent="0.35">
      <c r="A5" s="12" t="s">
        <v>63</v>
      </c>
      <c r="B5" s="22">
        <v>0.02</v>
      </c>
      <c r="D5" s="24" t="s">
        <v>75</v>
      </c>
    </row>
    <row r="6" spans="1:4" x14ac:dyDescent="0.35">
      <c r="A6" s="12" t="s">
        <v>64</v>
      </c>
      <c r="B6" s="25">
        <v>0.14499999999999999</v>
      </c>
      <c r="D6" s="24" t="s">
        <v>71</v>
      </c>
    </row>
    <row r="7" spans="1:4" x14ac:dyDescent="0.35">
      <c r="A7" s="12" t="s">
        <v>65</v>
      </c>
      <c r="B7" s="22">
        <v>0.02</v>
      </c>
      <c r="D7" s="24" t="s">
        <v>72</v>
      </c>
    </row>
    <row r="8" spans="1:4" x14ac:dyDescent="0.35">
      <c r="A8" s="12" t="s">
        <v>66</v>
      </c>
      <c r="B8" s="22">
        <v>1.4500000000000001E-2</v>
      </c>
      <c r="D8" s="24" t="s">
        <v>73</v>
      </c>
    </row>
    <row r="9" spans="1:4" x14ac:dyDescent="0.35">
      <c r="A9" s="12" t="s">
        <v>67</v>
      </c>
      <c r="B9" s="22">
        <v>5.9799999999999999E-2</v>
      </c>
      <c r="D9" s="24" t="s">
        <v>74</v>
      </c>
    </row>
    <row r="10" spans="1:4" x14ac:dyDescent="0.35">
      <c r="A10" s="12" t="s">
        <v>68</v>
      </c>
      <c r="B10" s="22">
        <v>0.1459</v>
      </c>
      <c r="D10" s="24" t="s">
        <v>74</v>
      </c>
    </row>
    <row r="11" spans="1:4" x14ac:dyDescent="0.35">
      <c r="A11" s="12" t="s">
        <v>70</v>
      </c>
      <c r="B11" s="21">
        <v>1.5</v>
      </c>
      <c r="D11" s="24" t="s">
        <v>76</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4">
    <tabColor rgb="FF0000FF"/>
  </sheetPr>
  <dimension ref="A1:D11"/>
  <sheetViews>
    <sheetView zoomScale="145" zoomScaleNormal="145" workbookViewId="0"/>
  </sheetViews>
  <sheetFormatPr defaultColWidth="10.26953125" defaultRowHeight="14.5" x14ac:dyDescent="0.35"/>
  <sheetData>
    <row r="1" spans="1:4" ht="43.5" x14ac:dyDescent="0.35">
      <c r="A1" s="33" t="s">
        <v>90</v>
      </c>
      <c r="B1" s="33"/>
      <c r="C1" s="33"/>
      <c r="D1" s="33"/>
    </row>
    <row r="3" spans="1:4" x14ac:dyDescent="0.35">
      <c r="A3" s="12" t="s">
        <v>77</v>
      </c>
    </row>
    <row r="4" spans="1:4" x14ac:dyDescent="0.35">
      <c r="A4" s="26" t="s">
        <v>78</v>
      </c>
    </row>
    <row r="5" spans="1:4" x14ac:dyDescent="0.35">
      <c r="A5" s="26" t="s">
        <v>79</v>
      </c>
    </row>
    <row r="6" spans="1:4" x14ac:dyDescent="0.35">
      <c r="A6" s="26" t="s">
        <v>80</v>
      </c>
    </row>
    <row r="7" spans="1:4" x14ac:dyDescent="0.35">
      <c r="A7" s="26" t="s">
        <v>81</v>
      </c>
    </row>
    <row r="8" spans="1:4" x14ac:dyDescent="0.35">
      <c r="A8" s="26" t="s">
        <v>79</v>
      </c>
    </row>
    <row r="9" spans="1:4" x14ac:dyDescent="0.35">
      <c r="A9" s="26" t="s">
        <v>80</v>
      </c>
    </row>
    <row r="10" spans="1:4" x14ac:dyDescent="0.35">
      <c r="A10" s="26" t="s">
        <v>82</v>
      </c>
    </row>
    <row r="11" spans="1:4" x14ac:dyDescent="0.35">
      <c r="A11" s="27"/>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5">
    <tabColor rgb="FFFF0000"/>
  </sheetPr>
  <dimension ref="A1:D11"/>
  <sheetViews>
    <sheetView zoomScale="145" zoomScaleNormal="145" workbookViewId="0">
      <selection activeCell="C8" sqref="C8"/>
    </sheetView>
  </sheetViews>
  <sheetFormatPr defaultColWidth="10.26953125" defaultRowHeight="14.5" x14ac:dyDescent="0.35"/>
  <sheetData>
    <row r="1" spans="1:4" ht="43.5" x14ac:dyDescent="0.35">
      <c r="A1" s="33" t="s">
        <v>90</v>
      </c>
      <c r="B1" s="33"/>
      <c r="C1" s="33"/>
      <c r="D1" s="33"/>
    </row>
    <row r="3" spans="1:4" x14ac:dyDescent="0.35">
      <c r="A3" s="12" t="s">
        <v>77</v>
      </c>
    </row>
    <row r="4" spans="1:4" x14ac:dyDescent="0.35">
      <c r="A4" s="7">
        <v>15</v>
      </c>
      <c r="C4" t="s">
        <v>93</v>
      </c>
    </row>
    <row r="5" spans="1:4" x14ac:dyDescent="0.35">
      <c r="A5" s="7">
        <v>25</v>
      </c>
      <c r="C5" t="s">
        <v>94</v>
      </c>
    </row>
    <row r="6" spans="1:4" x14ac:dyDescent="0.35">
      <c r="A6" s="7">
        <v>62</v>
      </c>
    </row>
    <row r="7" spans="1:4" x14ac:dyDescent="0.35">
      <c r="A7" s="7">
        <v>52</v>
      </c>
    </row>
    <row r="8" spans="1:4" x14ac:dyDescent="0.35">
      <c r="A8" s="7">
        <v>25</v>
      </c>
    </row>
    <row r="9" spans="1:4" x14ac:dyDescent="0.35">
      <c r="A9" s="7">
        <v>62</v>
      </c>
    </row>
    <row r="10" spans="1:4" x14ac:dyDescent="0.35">
      <c r="A10" s="7">
        <v>32</v>
      </c>
    </row>
    <row r="11" spans="1:4" x14ac:dyDescent="0.35">
      <c r="A11" s="10">
        <f>SUM(A4:A10)</f>
        <v>273</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6">
    <tabColor rgb="FF0000FF"/>
  </sheetPr>
  <dimension ref="A1:D11"/>
  <sheetViews>
    <sheetView zoomScale="145" zoomScaleNormal="145" workbookViewId="0"/>
  </sheetViews>
  <sheetFormatPr defaultColWidth="10.26953125" defaultRowHeight="14.5" x14ac:dyDescent="0.35"/>
  <sheetData>
    <row r="1" spans="1:4" ht="58" x14ac:dyDescent="0.35">
      <c r="A1" s="33" t="s">
        <v>91</v>
      </c>
      <c r="B1" s="33"/>
      <c r="C1" s="33"/>
      <c r="D1" s="33"/>
    </row>
    <row r="3" spans="1:4" x14ac:dyDescent="0.35">
      <c r="A3" s="12" t="s">
        <v>77</v>
      </c>
    </row>
    <row r="4" spans="1:4" x14ac:dyDescent="0.35">
      <c r="A4" s="28">
        <v>15</v>
      </c>
    </row>
    <row r="5" spans="1:4" x14ac:dyDescent="0.35">
      <c r="A5" s="28">
        <v>25</v>
      </c>
    </row>
    <row r="6" spans="1:4" x14ac:dyDescent="0.35">
      <c r="A6" s="29">
        <v>62</v>
      </c>
    </row>
    <row r="7" spans="1:4" x14ac:dyDescent="0.35">
      <c r="A7" s="29">
        <v>52</v>
      </c>
    </row>
    <row r="8" spans="1:4" x14ac:dyDescent="0.35">
      <c r="A8" s="29">
        <v>25</v>
      </c>
    </row>
    <row r="9" spans="1:4" x14ac:dyDescent="0.35">
      <c r="A9" s="28">
        <v>62</v>
      </c>
    </row>
    <row r="10" spans="1:4" x14ac:dyDescent="0.35">
      <c r="A10" s="28">
        <v>32</v>
      </c>
    </row>
    <row r="11" spans="1:4" x14ac:dyDescent="0.35">
      <c r="A11" s="27"/>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7">
    <tabColor rgb="FFFF0000"/>
  </sheetPr>
  <dimension ref="A1:D11"/>
  <sheetViews>
    <sheetView zoomScale="145" zoomScaleNormal="145" workbookViewId="0">
      <selection activeCell="C8" sqref="C8"/>
    </sheetView>
  </sheetViews>
  <sheetFormatPr defaultColWidth="10.26953125" defaultRowHeight="14.5" x14ac:dyDescent="0.35"/>
  <sheetData>
    <row r="1" spans="1:4" ht="58" x14ac:dyDescent="0.35">
      <c r="A1" s="33" t="s">
        <v>110</v>
      </c>
      <c r="B1" s="33"/>
      <c r="C1" s="33"/>
      <c r="D1" s="33"/>
    </row>
    <row r="3" spans="1:4" x14ac:dyDescent="0.35">
      <c r="A3" s="12" t="s">
        <v>77</v>
      </c>
    </row>
    <row r="4" spans="1:4" x14ac:dyDescent="0.35">
      <c r="A4" s="4">
        <v>15</v>
      </c>
    </row>
    <row r="5" spans="1:4" x14ac:dyDescent="0.35">
      <c r="A5" s="4">
        <v>25</v>
      </c>
    </row>
    <row r="6" spans="1:4" x14ac:dyDescent="0.35">
      <c r="A6" s="34">
        <v>62</v>
      </c>
    </row>
    <row r="7" spans="1:4" x14ac:dyDescent="0.35">
      <c r="A7" s="34">
        <v>52</v>
      </c>
    </row>
    <row r="8" spans="1:4" x14ac:dyDescent="0.35">
      <c r="A8" s="34">
        <v>25</v>
      </c>
    </row>
    <row r="9" spans="1:4" x14ac:dyDescent="0.35">
      <c r="A9" s="4">
        <v>62</v>
      </c>
    </row>
    <row r="10" spans="1:4" x14ac:dyDescent="0.35">
      <c r="A10" s="4">
        <v>32</v>
      </c>
    </row>
    <row r="11" spans="1:4" x14ac:dyDescent="0.35">
      <c r="A11" s="10">
        <f>SUM(A4:A10)</f>
        <v>273</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8">
    <tabColor rgb="FF0000FF"/>
  </sheetPr>
  <dimension ref="A1:D11"/>
  <sheetViews>
    <sheetView zoomScale="145" zoomScaleNormal="145" workbookViewId="0"/>
  </sheetViews>
  <sheetFormatPr defaultColWidth="10.26953125" defaultRowHeight="14.5" x14ac:dyDescent="0.35"/>
  <sheetData>
    <row r="1" spans="1:4" ht="43.5" x14ac:dyDescent="0.35">
      <c r="A1" s="33" t="s">
        <v>90</v>
      </c>
      <c r="B1" s="33"/>
      <c r="C1" s="33"/>
      <c r="D1" s="33"/>
    </row>
    <row r="3" spans="1:4" x14ac:dyDescent="0.35">
      <c r="A3" s="12" t="s">
        <v>77</v>
      </c>
    </row>
    <row r="4" spans="1:4" x14ac:dyDescent="0.35">
      <c r="A4" s="7">
        <v>15</v>
      </c>
    </row>
    <row r="5" spans="1:4" x14ac:dyDescent="0.35">
      <c r="A5" s="7">
        <v>25</v>
      </c>
    </row>
    <row r="6" spans="1:4" x14ac:dyDescent="0.35">
      <c r="A6" s="7">
        <v>62</v>
      </c>
    </row>
    <row r="7" spans="1:4" x14ac:dyDescent="0.35">
      <c r="A7" s="7">
        <v>52</v>
      </c>
    </row>
    <row r="8" spans="1:4" x14ac:dyDescent="0.35">
      <c r="A8" s="7">
        <v>25</v>
      </c>
    </row>
    <row r="9" spans="1:4" x14ac:dyDescent="0.35">
      <c r="A9" s="7">
        <v>62</v>
      </c>
    </row>
    <row r="10" spans="1:4" x14ac:dyDescent="0.35">
      <c r="A10" s="7">
        <v>32</v>
      </c>
    </row>
    <row r="11" spans="1:4" x14ac:dyDescent="0.35">
      <c r="A11" s="30"/>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9">
    <tabColor rgb="FFFF0000"/>
  </sheetPr>
  <dimension ref="A1:D11"/>
  <sheetViews>
    <sheetView zoomScale="145" zoomScaleNormal="145" workbookViewId="0">
      <selection activeCell="C8" sqref="C8"/>
    </sheetView>
  </sheetViews>
  <sheetFormatPr defaultColWidth="10.26953125" defaultRowHeight="14.5" x14ac:dyDescent="0.35"/>
  <sheetData>
    <row r="1" spans="1:4" ht="43.5" x14ac:dyDescent="0.35">
      <c r="A1" s="33" t="s">
        <v>90</v>
      </c>
      <c r="B1" s="33"/>
      <c r="C1" s="33"/>
      <c r="D1" s="33"/>
    </row>
    <row r="3" spans="1:4" x14ac:dyDescent="0.35">
      <c r="A3" s="12" t="s">
        <v>77</v>
      </c>
    </row>
    <row r="4" spans="1:4" x14ac:dyDescent="0.35">
      <c r="A4" s="7">
        <v>15</v>
      </c>
      <c r="C4" t="s">
        <v>95</v>
      </c>
    </row>
    <row r="5" spans="1:4" x14ac:dyDescent="0.35">
      <c r="A5" s="7">
        <v>25</v>
      </c>
      <c r="C5" t="s">
        <v>96</v>
      </c>
    </row>
    <row r="6" spans="1:4" x14ac:dyDescent="0.35">
      <c r="A6" s="7">
        <v>62</v>
      </c>
    </row>
    <row r="7" spans="1:4" x14ac:dyDescent="0.35">
      <c r="A7" s="7">
        <v>52</v>
      </c>
    </row>
    <row r="8" spans="1:4" x14ac:dyDescent="0.35">
      <c r="A8" s="7">
        <v>25</v>
      </c>
    </row>
    <row r="9" spans="1:4" x14ac:dyDescent="0.35">
      <c r="A9" s="7">
        <v>62</v>
      </c>
    </row>
    <row r="10" spans="1:4" x14ac:dyDescent="0.35">
      <c r="A10" s="7">
        <v>32</v>
      </c>
    </row>
    <row r="11" spans="1:4" x14ac:dyDescent="0.35">
      <c r="A11" s="10">
        <f>SUM(A4:A10)</f>
        <v>273</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40">
    <tabColor rgb="FF0000FF"/>
  </sheetPr>
  <dimension ref="A1:D11"/>
  <sheetViews>
    <sheetView zoomScale="145" zoomScaleNormal="145" workbookViewId="0"/>
  </sheetViews>
  <sheetFormatPr defaultColWidth="10.26953125" defaultRowHeight="14.5" x14ac:dyDescent="0.35"/>
  <cols>
    <col min="1" max="1" width="13" customWidth="1"/>
  </cols>
  <sheetData>
    <row r="1" spans="1:4" ht="29" x14ac:dyDescent="0.35">
      <c r="A1" s="33" t="s">
        <v>92</v>
      </c>
      <c r="B1" s="33"/>
      <c r="C1" s="33"/>
      <c r="D1" s="33"/>
    </row>
    <row r="3" spans="1:4" x14ac:dyDescent="0.35">
      <c r="A3" s="12" t="s">
        <v>83</v>
      </c>
    </row>
    <row r="4" spans="1:4" x14ac:dyDescent="0.35">
      <c r="A4" s="31" t="s">
        <v>84</v>
      </c>
    </row>
    <row r="5" spans="1:4" x14ac:dyDescent="0.35">
      <c r="A5" s="31" t="s">
        <v>85</v>
      </c>
    </row>
    <row r="6" spans="1:4" x14ac:dyDescent="0.35">
      <c r="A6" s="31" t="s">
        <v>86</v>
      </c>
    </row>
    <row r="7" spans="1:4" x14ac:dyDescent="0.35">
      <c r="A7" s="31" t="s">
        <v>87</v>
      </c>
    </row>
    <row r="8" spans="1:4" x14ac:dyDescent="0.35">
      <c r="A8" s="31" t="s">
        <v>88</v>
      </c>
    </row>
    <row r="9" spans="1:4" x14ac:dyDescent="0.35">
      <c r="A9" s="31" t="s">
        <v>89</v>
      </c>
    </row>
    <row r="10" spans="1:4" x14ac:dyDescent="0.35">
      <c r="A10" s="31" t="s">
        <v>89</v>
      </c>
    </row>
    <row r="11" spans="1:4" x14ac:dyDescent="0.35">
      <c r="A11" s="27">
        <f>COUNT(A4:A10)</f>
        <v>0</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1">
    <tabColor rgb="FFFF0000"/>
  </sheetPr>
  <dimension ref="A1:D11"/>
  <sheetViews>
    <sheetView zoomScale="145" zoomScaleNormal="145" workbookViewId="0">
      <selection activeCell="C8" sqref="C8"/>
    </sheetView>
  </sheetViews>
  <sheetFormatPr defaultColWidth="10.26953125" defaultRowHeight="14.5" x14ac:dyDescent="0.35"/>
  <cols>
    <col min="1" max="1" width="13" customWidth="1"/>
  </cols>
  <sheetData>
    <row r="1" spans="1:4" ht="29" x14ac:dyDescent="0.35">
      <c r="A1" s="33" t="s">
        <v>92</v>
      </c>
      <c r="B1" s="33"/>
      <c r="C1" s="33"/>
      <c r="D1" s="33"/>
    </row>
    <row r="3" spans="1:4" x14ac:dyDescent="0.35">
      <c r="A3" s="12" t="s">
        <v>83</v>
      </c>
    </row>
    <row r="4" spans="1:4" x14ac:dyDescent="0.35">
      <c r="A4" s="32">
        <v>40833</v>
      </c>
      <c r="C4" t="s">
        <v>97</v>
      </c>
    </row>
    <row r="5" spans="1:4" x14ac:dyDescent="0.35">
      <c r="A5" s="32">
        <v>40838</v>
      </c>
    </row>
    <row r="6" spans="1:4" x14ac:dyDescent="0.35">
      <c r="A6" s="32">
        <v>40823</v>
      </c>
    </row>
    <row r="7" spans="1:4" x14ac:dyDescent="0.35">
      <c r="A7" s="32">
        <v>40830</v>
      </c>
    </row>
    <row r="8" spans="1:4" x14ac:dyDescent="0.35">
      <c r="A8" s="32">
        <v>40831</v>
      </c>
    </row>
    <row r="9" spans="1:4" x14ac:dyDescent="0.35">
      <c r="A9" s="32">
        <v>40817</v>
      </c>
    </row>
    <row r="10" spans="1:4" x14ac:dyDescent="0.35">
      <c r="A10" s="32">
        <v>40817</v>
      </c>
    </row>
    <row r="11" spans="1:4" x14ac:dyDescent="0.35">
      <c r="A11" s="27">
        <f>COUNT(A4:A10)</f>
        <v>7</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3">
    <tabColor rgb="FF0000FF"/>
  </sheetPr>
  <dimension ref="A1:D11"/>
  <sheetViews>
    <sheetView zoomScale="145" zoomScaleNormal="145" workbookViewId="0"/>
  </sheetViews>
  <sheetFormatPr defaultColWidth="10.26953125" defaultRowHeight="14.5" x14ac:dyDescent="0.35"/>
  <cols>
    <col min="1" max="1" width="13" customWidth="1"/>
  </cols>
  <sheetData>
    <row r="1" spans="1:4" ht="29" x14ac:dyDescent="0.35">
      <c r="A1" s="33" t="s">
        <v>109</v>
      </c>
      <c r="B1" s="33"/>
      <c r="C1" s="33"/>
      <c r="D1" s="33"/>
    </row>
    <row r="3" spans="1:4" x14ac:dyDescent="0.35">
      <c r="A3" t="s">
        <v>108</v>
      </c>
    </row>
    <row r="4" spans="1:4" x14ac:dyDescent="0.35">
      <c r="B4" t="s">
        <v>104</v>
      </c>
      <c r="C4" t="s">
        <v>105</v>
      </c>
      <c r="D4" t="s">
        <v>106</v>
      </c>
    </row>
    <row r="5" spans="1:4" x14ac:dyDescent="0.35">
      <c r="A5" t="s">
        <v>98</v>
      </c>
      <c r="B5">
        <v>154000</v>
      </c>
      <c r="C5">
        <v>254000</v>
      </c>
      <c r="D5">
        <v>289000</v>
      </c>
    </row>
    <row r="6" spans="1:4" x14ac:dyDescent="0.35">
      <c r="A6" t="s">
        <v>99</v>
      </c>
      <c r="B6">
        <v>265000</v>
      </c>
      <c r="C6">
        <v>218000</v>
      </c>
      <c r="D6">
        <v>88000</v>
      </c>
    </row>
    <row r="7" spans="1:4" x14ac:dyDescent="0.35">
      <c r="A7" t="s">
        <v>100</v>
      </c>
      <c r="B7">
        <v>92000</v>
      </c>
      <c r="C7">
        <v>121000</v>
      </c>
      <c r="D7">
        <v>160000</v>
      </c>
    </row>
    <row r="8" spans="1:4" x14ac:dyDescent="0.35">
      <c r="A8" t="s">
        <v>101</v>
      </c>
      <c r="B8">
        <v>221000</v>
      </c>
      <c r="C8">
        <v>74000</v>
      </c>
      <c r="D8">
        <v>148000</v>
      </c>
    </row>
    <row r="9" spans="1:4" x14ac:dyDescent="0.35">
      <c r="A9" t="s">
        <v>102</v>
      </c>
      <c r="B9">
        <v>201000</v>
      </c>
      <c r="C9">
        <v>72000</v>
      </c>
      <c r="D9">
        <v>271000</v>
      </c>
    </row>
    <row r="10" spans="1:4" x14ac:dyDescent="0.35">
      <c r="A10" t="s">
        <v>103</v>
      </c>
      <c r="B10">
        <v>131000</v>
      </c>
      <c r="C10">
        <v>210000</v>
      </c>
      <c r="D10">
        <v>152000</v>
      </c>
    </row>
    <row r="11" spans="1:4" x14ac:dyDescent="0.35">
      <c r="A11" t="s">
        <v>107</v>
      </c>
      <c r="B11">
        <f t="shared" ref="B11:D11" si="0">SUM(B5:B10)</f>
        <v>1064000</v>
      </c>
      <c r="C11">
        <f t="shared" si="0"/>
        <v>949000</v>
      </c>
      <c r="D11">
        <f t="shared" si="0"/>
        <v>1108000</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44">
    <tabColor rgb="FFFF0000"/>
  </sheetPr>
  <dimension ref="A1:D12"/>
  <sheetViews>
    <sheetView zoomScale="145" zoomScaleNormal="145" workbookViewId="0">
      <selection activeCell="C8" sqref="C8"/>
    </sheetView>
  </sheetViews>
  <sheetFormatPr defaultColWidth="10.26953125" defaultRowHeight="14.5" x14ac:dyDescent="0.35"/>
  <cols>
    <col min="1" max="1" width="13" customWidth="1"/>
    <col min="2" max="2" width="13.81640625" bestFit="1" customWidth="1"/>
    <col min="3" max="3" width="12.26953125" bestFit="1" customWidth="1"/>
    <col min="4" max="4" width="13.81640625" bestFit="1" customWidth="1"/>
  </cols>
  <sheetData>
    <row r="1" spans="1:4" ht="29" x14ac:dyDescent="0.35">
      <c r="A1" s="33" t="s">
        <v>109</v>
      </c>
      <c r="B1" s="33"/>
      <c r="C1" s="33"/>
      <c r="D1" s="33"/>
    </row>
    <row r="3" spans="1:4" x14ac:dyDescent="0.35">
      <c r="A3" s="35" t="s">
        <v>108</v>
      </c>
      <c r="B3" s="35"/>
      <c r="C3" s="35"/>
      <c r="D3" s="35"/>
    </row>
    <row r="4" spans="1:4" x14ac:dyDescent="0.35">
      <c r="A4" s="5"/>
      <c r="B4" s="36" t="s">
        <v>104</v>
      </c>
      <c r="C4" s="36" t="s">
        <v>105</v>
      </c>
      <c r="D4" s="36" t="s">
        <v>106</v>
      </c>
    </row>
    <row r="5" spans="1:4" x14ac:dyDescent="0.35">
      <c r="A5" s="36" t="s">
        <v>98</v>
      </c>
      <c r="B5" s="7">
        <v>154000</v>
      </c>
      <c r="C5" s="7">
        <v>254000</v>
      </c>
      <c r="D5" s="7">
        <v>289000</v>
      </c>
    </row>
    <row r="6" spans="1:4" x14ac:dyDescent="0.35">
      <c r="A6" s="36" t="s">
        <v>99</v>
      </c>
      <c r="B6" s="40">
        <v>265000</v>
      </c>
      <c r="C6" s="40">
        <v>218000</v>
      </c>
      <c r="D6" s="40">
        <v>88000</v>
      </c>
    </row>
    <row r="7" spans="1:4" x14ac:dyDescent="0.35">
      <c r="A7" s="36" t="s">
        <v>100</v>
      </c>
      <c r="B7" s="40">
        <v>92000</v>
      </c>
      <c r="C7" s="40">
        <v>121000</v>
      </c>
      <c r="D7" s="40">
        <v>160000</v>
      </c>
    </row>
    <row r="8" spans="1:4" x14ac:dyDescent="0.35">
      <c r="A8" s="36" t="s">
        <v>101</v>
      </c>
      <c r="B8" s="40">
        <v>221000</v>
      </c>
      <c r="C8" s="40">
        <v>74000</v>
      </c>
      <c r="D8" s="40">
        <v>148000</v>
      </c>
    </row>
    <row r="9" spans="1:4" x14ac:dyDescent="0.35">
      <c r="A9" s="36" t="s">
        <v>102</v>
      </c>
      <c r="B9" s="40">
        <v>201000</v>
      </c>
      <c r="C9" s="40">
        <v>72000</v>
      </c>
      <c r="D9" s="40">
        <v>271000</v>
      </c>
    </row>
    <row r="10" spans="1:4" ht="15" thickBot="1" x14ac:dyDescent="0.4">
      <c r="A10" s="37" t="s">
        <v>103</v>
      </c>
      <c r="B10" s="41">
        <v>131000</v>
      </c>
      <c r="C10" s="41">
        <v>210000</v>
      </c>
      <c r="D10" s="41">
        <v>152000</v>
      </c>
    </row>
    <row r="11" spans="1:4" ht="15" thickBot="1" x14ac:dyDescent="0.4">
      <c r="A11" s="38" t="s">
        <v>107</v>
      </c>
      <c r="B11" s="39">
        <f t="shared" ref="B11:D11" si="0">SUM(B5:B10)</f>
        <v>1064000</v>
      </c>
      <c r="C11" s="39">
        <f t="shared" si="0"/>
        <v>949000</v>
      </c>
      <c r="D11" s="39">
        <f t="shared" si="0"/>
        <v>1108000</v>
      </c>
    </row>
    <row r="12" spans="1:4" ht="15" thickTop="1" x14ac:dyDescent="0.35"/>
  </sheetData>
  <printOptions horizontalCentered="1"/>
  <pageMargins left="0.7" right="0.7" top="0.75" bottom="0.75" header="0.3" footer="0.3"/>
  <pageSetup scale="160" orientation="landscape" r:id="rId1"/>
  <headerFooter>
    <oddHeader>&amp;L&amp;A&amp;C&amp;D&amp;R&amp;"-,Bold"&amp;14Your Name</oddHeader>
    <oddFooter>Page &amp;P of &amp;N</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0">
    <tabColor rgb="FF0000FF"/>
  </sheetPr>
  <dimension ref="A1:D13"/>
  <sheetViews>
    <sheetView zoomScale="175" zoomScaleNormal="175" workbookViewId="0">
      <selection activeCell="A25" sqref="A25"/>
    </sheetView>
  </sheetViews>
  <sheetFormatPr defaultColWidth="10.26953125" defaultRowHeight="14.5" x14ac:dyDescent="0.35"/>
  <cols>
    <col min="1" max="1" width="13" customWidth="1"/>
    <col min="2" max="2" width="13.81640625" bestFit="1" customWidth="1"/>
    <col min="3" max="3" width="12.26953125" bestFit="1" customWidth="1"/>
    <col min="4" max="4" width="18.1796875" customWidth="1"/>
  </cols>
  <sheetData>
    <row r="1" spans="1:4" x14ac:dyDescent="0.35">
      <c r="A1" s="33" t="s">
        <v>112</v>
      </c>
      <c r="B1" s="33"/>
      <c r="C1" s="33"/>
      <c r="D1" s="33"/>
    </row>
    <row r="3" spans="1:4" x14ac:dyDescent="0.35">
      <c r="A3" s="5" t="s">
        <v>28</v>
      </c>
      <c r="B3" s="7">
        <v>5000</v>
      </c>
    </row>
    <row r="4" spans="1:4" x14ac:dyDescent="0.35">
      <c r="A4" s="5" t="s">
        <v>111</v>
      </c>
      <c r="B4" s="7">
        <v>4250</v>
      </c>
    </row>
    <row r="5" spans="1:4" x14ac:dyDescent="0.35">
      <c r="A5" s="5" t="s">
        <v>12</v>
      </c>
      <c r="B5" s="10" t="s">
        <v>113</v>
      </c>
    </row>
    <row r="7" spans="1:4" x14ac:dyDescent="0.35">
      <c r="A7" s="5" t="s">
        <v>28</v>
      </c>
      <c r="B7" s="7">
        <v>5000</v>
      </c>
    </row>
    <row r="8" spans="1:4" x14ac:dyDescent="0.35">
      <c r="A8" s="5" t="s">
        <v>111</v>
      </c>
      <c r="B8" s="7">
        <v>4250</v>
      </c>
    </row>
    <row r="9" spans="1:4" x14ac:dyDescent="0.35">
      <c r="A9" s="5" t="s">
        <v>12</v>
      </c>
      <c r="B9" s="42" t="s">
        <v>114</v>
      </c>
    </row>
    <row r="11" spans="1:4" x14ac:dyDescent="0.35">
      <c r="A11" s="5" t="s">
        <v>28</v>
      </c>
      <c r="B11" s="7">
        <v>5000</v>
      </c>
    </row>
    <row r="12" spans="1:4" x14ac:dyDescent="0.35">
      <c r="A12" s="5" t="s">
        <v>111</v>
      </c>
      <c r="B12" s="7">
        <v>4250</v>
      </c>
    </row>
    <row r="13" spans="1:4" x14ac:dyDescent="0.35">
      <c r="A13" s="5" t="s">
        <v>12</v>
      </c>
      <c r="B13" s="30" t="s">
        <v>115</v>
      </c>
    </row>
  </sheetData>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51">
    <tabColor rgb="FFFF0000"/>
  </sheetPr>
  <dimension ref="A1:D13"/>
  <sheetViews>
    <sheetView zoomScale="175" zoomScaleNormal="175" workbookViewId="0">
      <selection activeCell="C8" sqref="C8"/>
    </sheetView>
  </sheetViews>
  <sheetFormatPr defaultColWidth="10.26953125" defaultRowHeight="14.5" x14ac:dyDescent="0.35"/>
  <cols>
    <col min="1" max="1" width="13" customWidth="1"/>
    <col min="2" max="2" width="13.81640625" bestFit="1" customWidth="1"/>
    <col min="3" max="3" width="5.7265625" customWidth="1"/>
    <col min="4" max="4" width="26.7265625" customWidth="1"/>
  </cols>
  <sheetData>
    <row r="1" spans="1:4" x14ac:dyDescent="0.35">
      <c r="A1" s="33" t="s">
        <v>112</v>
      </c>
      <c r="B1" s="33"/>
      <c r="C1" s="33"/>
      <c r="D1" s="33"/>
    </row>
    <row r="3" spans="1:4" x14ac:dyDescent="0.35">
      <c r="A3" s="5" t="s">
        <v>28</v>
      </c>
      <c r="B3" s="7">
        <v>5000</v>
      </c>
    </row>
    <row r="4" spans="1:4" x14ac:dyDescent="0.35">
      <c r="A4" s="5" t="s">
        <v>111</v>
      </c>
      <c r="B4" s="7">
        <v>4250</v>
      </c>
    </row>
    <row r="5" spans="1:4" x14ac:dyDescent="0.35">
      <c r="A5" s="5" t="s">
        <v>12</v>
      </c>
      <c r="B5" s="10">
        <f>B3-B4</f>
        <v>750</v>
      </c>
      <c r="D5" t="s">
        <v>127</v>
      </c>
    </row>
    <row r="7" spans="1:4" x14ac:dyDescent="0.35">
      <c r="A7" s="5" t="s">
        <v>28</v>
      </c>
      <c r="B7" s="7">
        <v>5000</v>
      </c>
    </row>
    <row r="8" spans="1:4" x14ac:dyDescent="0.35">
      <c r="A8" s="5" t="s">
        <v>111</v>
      </c>
      <c r="B8" s="7">
        <v>4250</v>
      </c>
    </row>
    <row r="9" spans="1:4" x14ac:dyDescent="0.35">
      <c r="A9" s="5" t="s">
        <v>12</v>
      </c>
      <c r="B9" s="42">
        <f>B7-B8</f>
        <v>750</v>
      </c>
      <c r="D9" t="s">
        <v>128</v>
      </c>
    </row>
    <row r="11" spans="1:4" x14ac:dyDescent="0.35">
      <c r="A11" s="5" t="s">
        <v>28</v>
      </c>
      <c r="B11" s="7">
        <v>5000</v>
      </c>
    </row>
    <row r="12" spans="1:4" x14ac:dyDescent="0.35">
      <c r="A12" s="5" t="s">
        <v>111</v>
      </c>
      <c r="B12" s="7">
        <v>4250</v>
      </c>
    </row>
    <row r="13" spans="1:4" x14ac:dyDescent="0.35">
      <c r="A13" s="5" t="s">
        <v>12</v>
      </c>
      <c r="B13" s="10">
        <f>B11-B12</f>
        <v>750</v>
      </c>
      <c r="D13" t="s">
        <v>129</v>
      </c>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52">
    <tabColor rgb="FF0000FF"/>
  </sheetPr>
  <dimension ref="A1:D15"/>
  <sheetViews>
    <sheetView zoomScale="145" zoomScaleNormal="145" workbookViewId="0"/>
  </sheetViews>
  <sheetFormatPr defaultColWidth="10.26953125" defaultRowHeight="14.5" x14ac:dyDescent="0.35"/>
  <cols>
    <col min="1" max="1" width="20.453125" bestFit="1" customWidth="1"/>
    <col min="2" max="2" width="24.54296875" bestFit="1" customWidth="1"/>
    <col min="3" max="3" width="12.26953125" bestFit="1" customWidth="1"/>
    <col min="4" max="4" width="13.81640625" bestFit="1" customWidth="1"/>
  </cols>
  <sheetData>
    <row r="1" spans="1:4" x14ac:dyDescent="0.35">
      <c r="A1" s="33" t="s">
        <v>121</v>
      </c>
      <c r="B1" s="33"/>
      <c r="C1" s="33"/>
      <c r="D1" s="33"/>
    </row>
    <row r="3" spans="1:4" x14ac:dyDescent="0.35">
      <c r="A3" s="43" t="s">
        <v>116</v>
      </c>
      <c r="B3" s="5" t="s">
        <v>118</v>
      </c>
    </row>
    <row r="4" spans="1:4" ht="29" x14ac:dyDescent="0.35">
      <c r="A4" s="43" t="str">
        <f>"Number of "&amp;B3</f>
        <v>Number of Birch Aircraft Plywood Sheet</v>
      </c>
      <c r="B4" s="44">
        <v>15</v>
      </c>
    </row>
    <row r="5" spans="1:4" ht="29" x14ac:dyDescent="0.35">
      <c r="A5" s="43" t="str">
        <f>"Price per "&amp;B3</f>
        <v>Price per Birch Aircraft Plywood Sheet</v>
      </c>
      <c r="B5" s="45">
        <v>125</v>
      </c>
    </row>
    <row r="6" spans="1:4" x14ac:dyDescent="0.35">
      <c r="A6" s="43" t="s">
        <v>117</v>
      </c>
      <c r="B6" s="46"/>
    </row>
    <row r="8" spans="1:4" x14ac:dyDescent="0.35">
      <c r="A8" s="43" t="s">
        <v>120</v>
      </c>
      <c r="B8" s="7">
        <v>598258</v>
      </c>
    </row>
    <row r="9" spans="1:4" x14ac:dyDescent="0.35">
      <c r="A9" s="43" t="s">
        <v>119</v>
      </c>
      <c r="B9" s="10"/>
    </row>
    <row r="11" spans="1:4" x14ac:dyDescent="0.35">
      <c r="A11" s="6" t="s">
        <v>123</v>
      </c>
      <c r="B11" s="7">
        <v>12913</v>
      </c>
    </row>
    <row r="12" spans="1:4" x14ac:dyDescent="0.35">
      <c r="A12" s="6" t="s">
        <v>124</v>
      </c>
      <c r="B12" s="7">
        <v>6280</v>
      </c>
    </row>
    <row r="13" spans="1:4" x14ac:dyDescent="0.35">
      <c r="A13" s="6" t="s">
        <v>125</v>
      </c>
      <c r="B13" s="7">
        <v>12830</v>
      </c>
    </row>
    <row r="14" spans="1:4" x14ac:dyDescent="0.35">
      <c r="A14" s="6" t="s">
        <v>126</v>
      </c>
      <c r="B14" s="48">
        <v>12974</v>
      </c>
    </row>
    <row r="15" spans="1:4" x14ac:dyDescent="0.35">
      <c r="A15" s="47" t="s">
        <v>122</v>
      </c>
      <c r="B15" s="10"/>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53">
    <tabColor rgb="FFFF0000"/>
  </sheetPr>
  <dimension ref="A1:D15"/>
  <sheetViews>
    <sheetView zoomScale="145" zoomScaleNormal="145" workbookViewId="0">
      <selection activeCell="C8" sqref="C8"/>
    </sheetView>
  </sheetViews>
  <sheetFormatPr defaultColWidth="10.26953125" defaultRowHeight="14.5" x14ac:dyDescent="0.35"/>
  <cols>
    <col min="1" max="1" width="20.453125" bestFit="1" customWidth="1"/>
    <col min="2" max="2" width="24.54296875" bestFit="1" customWidth="1"/>
    <col min="3" max="3" width="12.26953125" bestFit="1" customWidth="1"/>
    <col min="4" max="4" width="13.81640625" bestFit="1" customWidth="1"/>
  </cols>
  <sheetData>
    <row r="1" spans="1:4" x14ac:dyDescent="0.35">
      <c r="A1" s="33" t="s">
        <v>121</v>
      </c>
      <c r="B1" s="33"/>
      <c r="C1" s="33"/>
      <c r="D1" s="33"/>
    </row>
    <row r="3" spans="1:4" x14ac:dyDescent="0.35">
      <c r="A3" s="43" t="s">
        <v>116</v>
      </c>
      <c r="B3" s="5" t="s">
        <v>118</v>
      </c>
    </row>
    <row r="4" spans="1:4" ht="29" x14ac:dyDescent="0.35">
      <c r="A4" s="43" t="str">
        <f>"Number of "&amp;B3</f>
        <v>Number of Birch Aircraft Plywood Sheet</v>
      </c>
      <c r="B4" s="44">
        <v>15</v>
      </c>
    </row>
    <row r="5" spans="1:4" ht="29" x14ac:dyDescent="0.35">
      <c r="A5" s="43" t="str">
        <f>"Price per "&amp;B3</f>
        <v>Price per Birch Aircraft Plywood Sheet</v>
      </c>
      <c r="B5" s="45">
        <v>125</v>
      </c>
    </row>
    <row r="6" spans="1:4" x14ac:dyDescent="0.35">
      <c r="A6" s="43" t="s">
        <v>117</v>
      </c>
      <c r="B6" s="46">
        <f>B5*B4</f>
        <v>1875</v>
      </c>
    </row>
    <row r="8" spans="1:4" x14ac:dyDescent="0.35">
      <c r="A8" s="43" t="s">
        <v>120</v>
      </c>
      <c r="B8" s="7">
        <v>598258</v>
      </c>
    </row>
    <row r="9" spans="1:4" x14ac:dyDescent="0.35">
      <c r="A9" s="43" t="s">
        <v>119</v>
      </c>
      <c r="B9" s="10">
        <f>B8/12</f>
        <v>49854.833333333336</v>
      </c>
    </row>
    <row r="11" spans="1:4" x14ac:dyDescent="0.35">
      <c r="A11" s="6" t="s">
        <v>123</v>
      </c>
      <c r="B11" s="7">
        <v>12913</v>
      </c>
    </row>
    <row r="12" spans="1:4" x14ac:dyDescent="0.35">
      <c r="A12" s="6" t="s">
        <v>124</v>
      </c>
      <c r="B12" s="7">
        <v>6280</v>
      </c>
    </row>
    <row r="13" spans="1:4" x14ac:dyDescent="0.35">
      <c r="A13" s="6" t="s">
        <v>125</v>
      </c>
      <c r="B13" s="7">
        <v>12830</v>
      </c>
    </row>
    <row r="14" spans="1:4" x14ac:dyDescent="0.35">
      <c r="A14" s="6" t="s">
        <v>126</v>
      </c>
      <c r="B14" s="48">
        <v>12974</v>
      </c>
    </row>
    <row r="15" spans="1:4" x14ac:dyDescent="0.35">
      <c r="A15" s="47" t="s">
        <v>122</v>
      </c>
      <c r="B15" s="10">
        <f>AVERAGE(B11:B14)</f>
        <v>11249.25</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54">
    <tabColor rgb="FF0000FF"/>
  </sheetPr>
  <dimension ref="A1:D1"/>
  <sheetViews>
    <sheetView zoomScale="130" zoomScaleNormal="130" workbookViewId="0"/>
  </sheetViews>
  <sheetFormatPr defaultColWidth="10.26953125" defaultRowHeight="14.5" x14ac:dyDescent="0.35"/>
  <cols>
    <col min="1" max="1" width="20.453125" bestFit="1" customWidth="1"/>
    <col min="2" max="2" width="24.54296875" bestFit="1" customWidth="1"/>
    <col min="3" max="3" width="15.26953125" customWidth="1"/>
    <col min="4" max="4" width="13.81640625" bestFit="1" customWidth="1"/>
  </cols>
  <sheetData>
    <row r="1" spans="1:4" ht="58" x14ac:dyDescent="0.35">
      <c r="A1" s="33" t="str">
        <f>'HW(24an)'!A1</f>
        <v>1) If Revenue was ₹ 5,28,050.00, Administrative Expense was ₹ 65,874.00, Operational Expense was ₹ 3,50,200.00, and Other Expense was ₹ 58,500.00, list the revenue and expenses and calculate Net Income without calculating total expenses in a separate cell. Then format the report nicely.</v>
      </c>
      <c r="B1" s="33"/>
      <c r="C1" s="33"/>
      <c r="D1" s="33"/>
    </row>
  </sheetData>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55">
    <tabColor rgb="FFFF0000"/>
  </sheetPr>
  <dimension ref="A1:D9"/>
  <sheetViews>
    <sheetView zoomScale="145" zoomScaleNormal="145" workbookViewId="0">
      <selection activeCell="C8" sqref="C8"/>
    </sheetView>
  </sheetViews>
  <sheetFormatPr defaultColWidth="10.26953125" defaultRowHeight="14.5" x14ac:dyDescent="0.35"/>
  <cols>
    <col min="1" max="1" width="20.453125" bestFit="1" customWidth="1"/>
    <col min="2" max="2" width="14.26953125" customWidth="1"/>
    <col min="3" max="3" width="15.26953125" customWidth="1"/>
    <col min="4" max="4" width="13.81640625" bestFit="1" customWidth="1"/>
  </cols>
  <sheetData>
    <row r="1" spans="1:4" ht="58" x14ac:dyDescent="0.35">
      <c r="A1" s="33" t="str">
        <f>"1) If "&amp;A4&amp;" was "&amp;DOLLAR(B4)&amp;", "&amp;A5&amp;" was "&amp;DOLLAR(B5)&amp;", "&amp;A6&amp;" was "&amp;DOLLAR(B6)&amp;", and "&amp;A7&amp;" was "&amp;DOLLAR(B7)&amp;", list the revenue and expenses and calculate Net Income without calculating total expenses in a separate cell. Then format the report nicely."</f>
        <v>1) If Revenue was ₹ 5,28,050.00, Administrative Expense was ₹ 65,874.00, Operational Expense was ₹ 3,50,200.00, and Other Expense was ₹ 58,500.00, list the revenue and expenses and calculate Net Income without calculating total expenses in a separate cell. Then format the report nicely.</v>
      </c>
      <c r="B1" s="33"/>
      <c r="C1" s="33"/>
      <c r="D1" s="33"/>
    </row>
    <row r="4" spans="1:4" x14ac:dyDescent="0.35">
      <c r="A4" s="43" t="s">
        <v>7</v>
      </c>
      <c r="B4" s="51">
        <v>528050</v>
      </c>
    </row>
    <row r="5" spans="1:4" ht="29" x14ac:dyDescent="0.35">
      <c r="A5" s="43" t="s">
        <v>130</v>
      </c>
      <c r="B5" s="51">
        <v>65874</v>
      </c>
    </row>
    <row r="6" spans="1:4" x14ac:dyDescent="0.35">
      <c r="A6" s="43" t="s">
        <v>131</v>
      </c>
      <c r="B6" s="51">
        <v>350200</v>
      </c>
    </row>
    <row r="7" spans="1:4" ht="15" thickBot="1" x14ac:dyDescent="0.4">
      <c r="A7" s="49" t="s">
        <v>132</v>
      </c>
      <c r="B7" s="52">
        <v>58500</v>
      </c>
    </row>
    <row r="8" spans="1:4" ht="15" thickBot="1" x14ac:dyDescent="0.4">
      <c r="A8" s="50" t="s">
        <v>12</v>
      </c>
      <c r="B8" s="53">
        <f>B4-SUM(B5:B7)</f>
        <v>53476</v>
      </c>
    </row>
    <row r="9" spans="1:4" ht="15" thickTop="1" x14ac:dyDescent="0.35"/>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56">
    <tabColor rgb="FF0000FF"/>
  </sheetPr>
  <dimension ref="A1:D12"/>
  <sheetViews>
    <sheetView zoomScale="130" zoomScaleNormal="130" workbookViewId="0">
      <selection activeCell="G22" sqref="G22"/>
    </sheetView>
  </sheetViews>
  <sheetFormatPr defaultColWidth="10.26953125" defaultRowHeight="14.5" x14ac:dyDescent="0.35"/>
  <cols>
    <col min="1" max="1" width="13" customWidth="1"/>
    <col min="2" max="2" width="13.81640625" bestFit="1" customWidth="1"/>
    <col min="3" max="3" width="12.26953125" bestFit="1" customWidth="1"/>
    <col min="4" max="4" width="13.81640625" bestFit="1" customWidth="1"/>
  </cols>
  <sheetData>
    <row r="1" spans="1:4" ht="43.5" x14ac:dyDescent="0.35">
      <c r="A1" s="33" t="s">
        <v>136</v>
      </c>
      <c r="B1" s="33"/>
      <c r="C1" s="33"/>
      <c r="D1" s="33"/>
    </row>
    <row r="3" spans="1:4" x14ac:dyDescent="0.35">
      <c r="A3" s="43" t="s">
        <v>133</v>
      </c>
      <c r="B3" s="6" t="s">
        <v>134</v>
      </c>
    </row>
    <row r="4" spans="1:4" x14ac:dyDescent="0.35">
      <c r="A4" s="56"/>
      <c r="B4" s="57">
        <v>22.1005</v>
      </c>
    </row>
    <row r="5" spans="1:4" x14ac:dyDescent="0.35">
      <c r="A5" s="58">
        <v>5528.9800000089999</v>
      </c>
      <c r="B5" s="56"/>
    </row>
    <row r="6" spans="1:4" x14ac:dyDescent="0.35">
      <c r="A6" s="58">
        <v>50.01</v>
      </c>
      <c r="B6" s="56"/>
    </row>
    <row r="7" spans="1:4" x14ac:dyDescent="0.35">
      <c r="A7" s="58"/>
      <c r="B7" s="55">
        <v>5528.98</v>
      </c>
    </row>
    <row r="8" spans="1:4" x14ac:dyDescent="0.35">
      <c r="A8" s="58"/>
      <c r="B8" s="55">
        <v>50.011000000000003</v>
      </c>
    </row>
    <row r="9" spans="1:4" x14ac:dyDescent="0.35">
      <c r="A9" s="58">
        <v>22.1</v>
      </c>
      <c r="B9" s="56"/>
    </row>
    <row r="10" spans="1:4" x14ac:dyDescent="0.35">
      <c r="A10" s="59">
        <f t="shared" ref="A10:B10" si="0">SUM(A4:A9)</f>
        <v>5601.0900000090005</v>
      </c>
      <c r="B10" s="59">
        <f t="shared" si="0"/>
        <v>5601.0914999999995</v>
      </c>
    </row>
    <row r="12" spans="1:4" x14ac:dyDescent="0.35">
      <c r="A12" s="5" t="s">
        <v>135</v>
      </c>
      <c r="B12" s="54" t="b">
        <f>A10=B10</f>
        <v>0</v>
      </c>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57">
    <tabColor rgb="FFFF0000"/>
  </sheetPr>
  <dimension ref="A1:D25"/>
  <sheetViews>
    <sheetView workbookViewId="0">
      <selection activeCell="C8" sqref="C8"/>
    </sheetView>
  </sheetViews>
  <sheetFormatPr defaultColWidth="10.26953125" defaultRowHeight="14.5" x14ac:dyDescent="0.35"/>
  <cols>
    <col min="1" max="1" width="13" customWidth="1"/>
    <col min="2" max="2" width="13.81640625" bestFit="1" customWidth="1"/>
    <col min="3" max="3" width="4.81640625" customWidth="1"/>
    <col min="4" max="4" width="13.81640625" bestFit="1" customWidth="1"/>
  </cols>
  <sheetData>
    <row r="1" spans="1:4" ht="58" x14ac:dyDescent="0.35">
      <c r="A1" s="33" t="s">
        <v>136</v>
      </c>
      <c r="B1" s="33"/>
      <c r="C1" s="33"/>
      <c r="D1" s="33"/>
    </row>
    <row r="2" spans="1:4" ht="4.9000000000000004" customHeight="1" x14ac:dyDescent="0.35"/>
    <row r="3" spans="1:4" x14ac:dyDescent="0.35">
      <c r="A3" s="61" t="s">
        <v>133</v>
      </c>
      <c r="B3" s="8" t="s">
        <v>134</v>
      </c>
    </row>
    <row r="4" spans="1:4" x14ac:dyDescent="0.35">
      <c r="A4" s="56"/>
      <c r="B4" s="57">
        <v>22.1005</v>
      </c>
      <c r="D4" t="str">
        <f>"&lt;&lt;== actual number in cell = "&amp;IF(A4="",B4,A4)</f>
        <v>&lt;&lt;== actual number in cell = 22.1005</v>
      </c>
    </row>
    <row r="5" spans="1:4" x14ac:dyDescent="0.35">
      <c r="A5" s="58">
        <v>5528.9800000089999</v>
      </c>
      <c r="B5" s="56"/>
      <c r="D5" t="str">
        <f t="shared" ref="D5:D9" si="0">"&lt;&lt;== actual number in cell = "&amp;IF(A5="",B5,A5)</f>
        <v>&lt;&lt;== actual number in cell = 5528.980000009</v>
      </c>
    </row>
    <row r="6" spans="1:4" x14ac:dyDescent="0.35">
      <c r="A6" s="58">
        <v>50.01</v>
      </c>
      <c r="B6" s="56"/>
      <c r="D6" t="str">
        <f t="shared" si="0"/>
        <v>&lt;&lt;== actual number in cell = 50.01</v>
      </c>
    </row>
    <row r="7" spans="1:4" x14ac:dyDescent="0.35">
      <c r="A7" s="58"/>
      <c r="B7" s="55">
        <v>5528.98</v>
      </c>
      <c r="D7" t="str">
        <f t="shared" si="0"/>
        <v>&lt;&lt;== actual number in cell = 5528.98</v>
      </c>
    </row>
    <row r="8" spans="1:4" x14ac:dyDescent="0.35">
      <c r="A8" s="58"/>
      <c r="B8" s="55">
        <v>50.011000000000003</v>
      </c>
      <c r="D8" t="str">
        <f t="shared" si="0"/>
        <v>&lt;&lt;== actual number in cell = 50.011</v>
      </c>
    </row>
    <row r="9" spans="1:4" x14ac:dyDescent="0.35">
      <c r="A9" s="58">
        <v>22.1</v>
      </c>
      <c r="B9" s="56"/>
      <c r="D9" t="str">
        <f t="shared" si="0"/>
        <v>&lt;&lt;== actual number in cell = 22.1</v>
      </c>
    </row>
    <row r="10" spans="1:4" x14ac:dyDescent="0.35">
      <c r="A10" s="59">
        <f t="shared" ref="A10:B10" si="1">SUM(A4:A9)</f>
        <v>5601.0900000090005</v>
      </c>
      <c r="B10" s="59">
        <f t="shared" si="1"/>
        <v>5601.0914999999995</v>
      </c>
    </row>
    <row r="12" spans="1:4" x14ac:dyDescent="0.35">
      <c r="A12" s="5" t="s">
        <v>135</v>
      </c>
      <c r="B12" s="54" t="b">
        <f>A10=B10</f>
        <v>0</v>
      </c>
    </row>
    <row r="13" spans="1:4" ht="4.9000000000000004" customHeight="1" x14ac:dyDescent="0.35"/>
    <row r="14" spans="1:4" x14ac:dyDescent="0.35">
      <c r="A14" s="60" t="s">
        <v>137</v>
      </c>
      <c r="B14" s="60"/>
    </row>
    <row r="15" spans="1:4" ht="4.9000000000000004" customHeight="1" x14ac:dyDescent="0.35"/>
    <row r="16" spans="1:4" x14ac:dyDescent="0.35">
      <c r="A16" s="61" t="s">
        <v>133</v>
      </c>
      <c r="B16" s="8" t="s">
        <v>134</v>
      </c>
    </row>
    <row r="17" spans="1:4" x14ac:dyDescent="0.35">
      <c r="A17" s="56"/>
      <c r="B17" s="57">
        <v>22.1</v>
      </c>
      <c r="D17" t="str">
        <f>"&lt;&lt;== actual number in cell = "&amp;IF(A17="",B17,A17)</f>
        <v>&lt;&lt;== actual number in cell = 22.1</v>
      </c>
    </row>
    <row r="18" spans="1:4" x14ac:dyDescent="0.35">
      <c r="A18" s="58">
        <v>5528.98</v>
      </c>
      <c r="B18" s="56"/>
      <c r="D18" t="str">
        <f t="shared" ref="D18:D22" si="2">"&lt;&lt;== actual number in cell = "&amp;IF(A18="",B18,A18)</f>
        <v>&lt;&lt;== actual number in cell = 5528.98</v>
      </c>
    </row>
    <row r="19" spans="1:4" x14ac:dyDescent="0.35">
      <c r="A19" s="58">
        <v>50.01</v>
      </c>
      <c r="B19" s="56"/>
      <c r="D19" t="str">
        <f t="shared" si="2"/>
        <v>&lt;&lt;== actual number in cell = 50.01</v>
      </c>
    </row>
    <row r="20" spans="1:4" x14ac:dyDescent="0.35">
      <c r="A20" s="58"/>
      <c r="B20" s="55">
        <v>5528.98</v>
      </c>
      <c r="D20" t="str">
        <f t="shared" si="2"/>
        <v>&lt;&lt;== actual number in cell = 5528.98</v>
      </c>
    </row>
    <row r="21" spans="1:4" x14ac:dyDescent="0.35">
      <c r="A21" s="58"/>
      <c r="B21" s="55">
        <v>50.01</v>
      </c>
      <c r="D21" t="str">
        <f t="shared" si="2"/>
        <v>&lt;&lt;== actual number in cell = 50.01</v>
      </c>
    </row>
    <row r="22" spans="1:4" x14ac:dyDescent="0.35">
      <c r="A22" s="58">
        <v>22.1</v>
      </c>
      <c r="B22" s="56"/>
      <c r="D22" t="str">
        <f t="shared" si="2"/>
        <v>&lt;&lt;== actual number in cell = 22.1</v>
      </c>
    </row>
    <row r="23" spans="1:4" x14ac:dyDescent="0.35">
      <c r="A23" s="59">
        <f t="shared" ref="A23" si="3">SUM(A17:A22)</f>
        <v>5601.09</v>
      </c>
      <c r="B23" s="59">
        <f t="shared" ref="B23" si="4">SUM(B17:B22)</f>
        <v>5601.09</v>
      </c>
    </row>
    <row r="25" spans="1:4" x14ac:dyDescent="0.35">
      <c r="A25" s="5" t="s">
        <v>135</v>
      </c>
      <c r="B25" s="54" t="b">
        <f>A23=B23</f>
        <v>1</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vt:i4>
      </vt:variant>
    </vt:vector>
  </HeadingPairs>
  <TitlesOfParts>
    <vt:vector size="34" baseType="lpstr">
      <vt:lpstr>Rows and Columns</vt:lpstr>
      <vt:lpstr>HW(2)</vt:lpstr>
      <vt:lpstr>HW(2an)</vt:lpstr>
      <vt:lpstr>HW(3)</vt:lpstr>
      <vt:lpstr>HW(3an)</vt:lpstr>
      <vt:lpstr>HW(4)</vt:lpstr>
      <vt:lpstr>HW(4an)</vt:lpstr>
      <vt:lpstr>HW(7)</vt:lpstr>
      <vt:lpstr>HW(7an)</vt:lpstr>
      <vt:lpstr>HW(12)</vt:lpstr>
      <vt:lpstr>HW(12an)</vt:lpstr>
      <vt:lpstr>HW(13)</vt:lpstr>
      <vt:lpstr>HW(13an)</vt:lpstr>
      <vt:lpstr>HW(14)</vt:lpstr>
      <vt:lpstr>HW(14an)</vt:lpstr>
      <vt:lpstr>HW(15)</vt:lpstr>
      <vt:lpstr>HW(15an)</vt:lpstr>
      <vt:lpstr>HW(16)</vt:lpstr>
      <vt:lpstr>HW(16an)</vt:lpstr>
      <vt:lpstr>HW(17)</vt:lpstr>
      <vt:lpstr>HW(17an)</vt:lpstr>
      <vt:lpstr>HW(18)</vt:lpstr>
      <vt:lpstr>HW(18an)</vt:lpstr>
      <vt:lpstr>HW(19)</vt:lpstr>
      <vt:lpstr>HW(19an)</vt:lpstr>
      <vt:lpstr>HW(22)</vt:lpstr>
      <vt:lpstr>HW(22an)</vt:lpstr>
      <vt:lpstr>HW(23)</vt:lpstr>
      <vt:lpstr>HW(23an)</vt:lpstr>
      <vt:lpstr>HW(24)</vt:lpstr>
      <vt:lpstr>HW(24an)</vt:lpstr>
      <vt:lpstr>HW(25)</vt:lpstr>
      <vt:lpstr>HW(25an)</vt:lpstr>
      <vt:lpstr>'HW(19an)'!Print_Area</vt:lpstr>
    </vt:vector>
  </TitlesOfParts>
  <Company>Highline Community College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Abhishek Pandey</dc:creator>
  <cp:lastModifiedBy>Abhishek Pandey C</cp:lastModifiedBy>
  <cp:lastPrinted>2011-02-12T19:23:41Z</cp:lastPrinted>
  <dcterms:created xsi:type="dcterms:W3CDTF">2011-02-10T17:16:04Z</dcterms:created>
  <dcterms:modified xsi:type="dcterms:W3CDTF">2023-12-26T11:19:39Z</dcterms:modified>
</cp:coreProperties>
</file>